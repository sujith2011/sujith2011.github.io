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824E115D-001F-4285-8215-6800B637DBF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Instructions" sheetId="1" r:id="rId1"/>
    <sheet name="Employee Master" sheetId="2" r:id="rId2"/>
    <sheet name="Shift Master" sheetId="3" r:id="rId3"/>
    <sheet name="Monthly Roster" sheetId="4" r:id="rId4"/>
    <sheet name="Leave" sheetId="5" r:id="rId5"/>
    <sheet name="Summary" sheetId="6" r:id="rId6"/>
  </sheets>
  <definedNames>
    <definedName name="_xlnm._FilterDatabase" localSheetId="1" hidden="1">'Employee Master'!$A$3:$E$33</definedName>
    <definedName name="_xlnm._FilterDatabase" localSheetId="4" hidden="1">Leave!$A$3:$H$53</definedName>
    <definedName name="_xlnm._FilterDatabase" localSheetId="3" hidden="1">'Monthly Roster'!$A$6:$AI$36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9" i="6"/>
  <c r="D10" i="6"/>
  <c r="D11" i="6"/>
  <c r="D12" i="6"/>
  <c r="D13" i="6"/>
  <c r="D14" i="6"/>
  <c r="D15" i="6"/>
  <c r="L15" i="6" s="1"/>
  <c r="D16" i="6"/>
  <c r="D17" i="6"/>
  <c r="D18" i="6"/>
  <c r="D19" i="6"/>
  <c r="D20" i="6"/>
  <c r="D21" i="6"/>
  <c r="D22" i="6"/>
  <c r="D23" i="6"/>
  <c r="D24" i="6"/>
  <c r="D25" i="6"/>
  <c r="D26" i="6"/>
  <c r="D27" i="6"/>
  <c r="L27" i="6" s="1"/>
  <c r="D28" i="6"/>
  <c r="L28" i="6" s="1"/>
  <c r="D29" i="6"/>
  <c r="D30" i="6"/>
  <c r="D31" i="6"/>
  <c r="D32" i="6"/>
  <c r="D33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D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I4" i="6"/>
  <c r="H4" i="6"/>
  <c r="G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4" i="6"/>
  <c r="A5" i="6"/>
  <c r="B5" i="6"/>
  <c r="C5" i="6"/>
  <c r="A6" i="6"/>
  <c r="B6" i="6"/>
  <c r="C6" i="6"/>
  <c r="A7" i="6"/>
  <c r="B7" i="6"/>
  <c r="C7" i="6"/>
  <c r="A8" i="6"/>
  <c r="B8" i="6"/>
  <c r="C8" i="6"/>
  <c r="A9" i="6"/>
  <c r="B9" i="6"/>
  <c r="C9" i="6"/>
  <c r="A10" i="6"/>
  <c r="B10" i="6"/>
  <c r="C10" i="6"/>
  <c r="A11" i="6"/>
  <c r="B11" i="6"/>
  <c r="C11" i="6"/>
  <c r="A12" i="6"/>
  <c r="B12" i="6"/>
  <c r="C12" i="6"/>
  <c r="A13" i="6"/>
  <c r="B13" i="6"/>
  <c r="C13" i="6"/>
  <c r="A14" i="6"/>
  <c r="B14" i="6"/>
  <c r="C14" i="6"/>
  <c r="A15" i="6"/>
  <c r="B15" i="6"/>
  <c r="C15" i="6"/>
  <c r="A16" i="6"/>
  <c r="B16" i="6"/>
  <c r="C16" i="6"/>
  <c r="A17" i="6"/>
  <c r="B17" i="6"/>
  <c r="C17" i="6"/>
  <c r="A18" i="6"/>
  <c r="B18" i="6"/>
  <c r="C18" i="6"/>
  <c r="A19" i="6"/>
  <c r="B19" i="6"/>
  <c r="C19" i="6"/>
  <c r="A20" i="6"/>
  <c r="B20" i="6"/>
  <c r="C20" i="6"/>
  <c r="A21" i="6"/>
  <c r="B21" i="6"/>
  <c r="C21" i="6"/>
  <c r="A22" i="6"/>
  <c r="B22" i="6"/>
  <c r="C22" i="6"/>
  <c r="A23" i="6"/>
  <c r="B23" i="6"/>
  <c r="C23" i="6"/>
  <c r="A24" i="6"/>
  <c r="B24" i="6"/>
  <c r="C24" i="6"/>
  <c r="A25" i="6"/>
  <c r="B25" i="6"/>
  <c r="C25" i="6"/>
  <c r="A26" i="6"/>
  <c r="B26" i="6"/>
  <c r="C26" i="6"/>
  <c r="A27" i="6"/>
  <c r="B27" i="6"/>
  <c r="C27" i="6"/>
  <c r="A28" i="6"/>
  <c r="B28" i="6"/>
  <c r="C28" i="6"/>
  <c r="A29" i="6"/>
  <c r="B29" i="6"/>
  <c r="C29" i="6"/>
  <c r="A30" i="6"/>
  <c r="B30" i="6"/>
  <c r="C30" i="6"/>
  <c r="A31" i="6"/>
  <c r="B31" i="6"/>
  <c r="C31" i="6"/>
  <c r="A32" i="6"/>
  <c r="B32" i="6"/>
  <c r="C32" i="6"/>
  <c r="A33" i="6"/>
  <c r="B33" i="6"/>
  <c r="C33" i="6"/>
  <c r="B4" i="6"/>
  <c r="C4" i="6"/>
  <c r="A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K4" i="6"/>
  <c r="E4" i="6"/>
  <c r="D36" i="4"/>
  <c r="C36" i="4"/>
  <c r="B36" i="4"/>
  <c r="A36" i="4"/>
  <c r="D35" i="4"/>
  <c r="C35" i="4"/>
  <c r="B35" i="4"/>
  <c r="A35" i="4"/>
  <c r="D34" i="4"/>
  <c r="C34" i="4"/>
  <c r="B34" i="4"/>
  <c r="A34" i="4"/>
  <c r="D33" i="4"/>
  <c r="C33" i="4"/>
  <c r="B33" i="4"/>
  <c r="A33" i="4"/>
  <c r="D32" i="4"/>
  <c r="C32" i="4"/>
  <c r="B32" i="4"/>
  <c r="A32" i="4"/>
  <c r="D31" i="4"/>
  <c r="C31" i="4"/>
  <c r="B31" i="4"/>
  <c r="A31" i="4"/>
  <c r="D30" i="4"/>
  <c r="C30" i="4"/>
  <c r="B30" i="4"/>
  <c r="A30" i="4"/>
  <c r="D29" i="4"/>
  <c r="C29" i="4"/>
  <c r="B29" i="4"/>
  <c r="A29" i="4"/>
  <c r="D28" i="4"/>
  <c r="C28" i="4"/>
  <c r="B28" i="4"/>
  <c r="A28" i="4"/>
  <c r="D27" i="4"/>
  <c r="C27" i="4"/>
  <c r="B27" i="4"/>
  <c r="A27" i="4"/>
  <c r="D26" i="4"/>
  <c r="C26" i="4"/>
  <c r="B26" i="4"/>
  <c r="A26" i="4"/>
  <c r="D25" i="4"/>
  <c r="C25" i="4"/>
  <c r="B25" i="4"/>
  <c r="A25" i="4"/>
  <c r="D24" i="4"/>
  <c r="C24" i="4"/>
  <c r="B24" i="4"/>
  <c r="A24" i="4"/>
  <c r="D23" i="4"/>
  <c r="C23" i="4"/>
  <c r="B23" i="4"/>
  <c r="A23" i="4"/>
  <c r="D22" i="4"/>
  <c r="C22" i="4"/>
  <c r="B22" i="4"/>
  <c r="A22" i="4"/>
  <c r="D21" i="4"/>
  <c r="C21" i="4"/>
  <c r="B21" i="4"/>
  <c r="A21" i="4"/>
  <c r="D20" i="4"/>
  <c r="C20" i="4"/>
  <c r="B20" i="4"/>
  <c r="A20" i="4"/>
  <c r="D19" i="4"/>
  <c r="C19" i="4"/>
  <c r="B19" i="4"/>
  <c r="A19" i="4"/>
  <c r="D18" i="4"/>
  <c r="C18" i="4"/>
  <c r="B18" i="4"/>
  <c r="A18" i="4"/>
  <c r="D17" i="4"/>
  <c r="C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C13" i="4"/>
  <c r="B13" i="4"/>
  <c r="A13" i="4"/>
  <c r="D12" i="4"/>
  <c r="C12" i="4"/>
  <c r="B12" i="4"/>
  <c r="A12" i="4"/>
  <c r="D11" i="4"/>
  <c r="C11" i="4"/>
  <c r="B11" i="4"/>
  <c r="A11" i="4"/>
  <c r="D10" i="4"/>
  <c r="C10" i="4"/>
  <c r="B10" i="4"/>
  <c r="A10" i="4"/>
  <c r="D9" i="4"/>
  <c r="C9" i="4"/>
  <c r="B9" i="4"/>
  <c r="A9" i="4"/>
  <c r="D8" i="4"/>
  <c r="C8" i="4"/>
  <c r="B8" i="4"/>
  <c r="A8" i="4"/>
  <c r="D7" i="4"/>
  <c r="C7" i="4"/>
  <c r="B7" i="4"/>
  <c r="A7" i="4"/>
  <c r="L9" i="6" l="1"/>
  <c r="L14" i="6"/>
  <c r="L11" i="6"/>
  <c r="L10" i="6"/>
  <c r="L21" i="6"/>
  <c r="L26" i="6"/>
  <c r="L23" i="6"/>
  <c r="L22" i="6"/>
  <c r="L16" i="6"/>
  <c r="L33" i="6"/>
  <c r="L20" i="6"/>
  <c r="L31" i="6"/>
  <c r="L19" i="6"/>
  <c r="L7" i="6"/>
  <c r="L25" i="6"/>
  <c r="L13" i="6"/>
  <c r="L30" i="6"/>
  <c r="L18" i="6"/>
  <c r="L6" i="6"/>
  <c r="L32" i="6"/>
  <c r="L8" i="6"/>
  <c r="L24" i="6"/>
  <c r="L12" i="6"/>
  <c r="L29" i="6"/>
  <c r="L17" i="6"/>
  <c r="L5" i="6"/>
  <c r="L4" i="6"/>
</calcChain>
</file>

<file path=xl/sharedStrings.xml><?xml version="1.0" encoding="utf-8"?>
<sst xmlns="http://schemas.openxmlformats.org/spreadsheetml/2006/main" count="179" uniqueCount="102">
  <si>
    <t>Staff Roster &amp; Shift Scheduler — Version 1</t>
  </si>
  <si>
    <t>Purpose</t>
  </si>
  <si>
    <t>Create and maintain a monthly employee shift roster.</t>
  </si>
  <si>
    <t>1. Employee Master</t>
  </si>
  <si>
    <t>Enter employee ID, name, department and designation.</t>
  </si>
  <si>
    <t>2. Shift Master</t>
  </si>
  <si>
    <t>Edit shift names and timings if required.</t>
  </si>
  <si>
    <t>3. Monthly Roster</t>
  </si>
  <si>
    <t>Select the month/year and assign shifts using dropdowns.</t>
  </si>
  <si>
    <t>4. Leave</t>
  </si>
  <si>
    <t>Record leave or absence information.</t>
  </si>
  <si>
    <t>5. Summary</t>
  </si>
  <si>
    <t>Review employee working days, leave days and shift counts.</t>
  </si>
  <si>
    <t>Legend</t>
  </si>
  <si>
    <t>W = Working/assigned shift, OFF = Weekly off, L = Leave, H = Holiday.</t>
  </si>
  <si>
    <t>Employee Master</t>
  </si>
  <si>
    <t>Employee ID</t>
  </si>
  <si>
    <t>Employee Name</t>
  </si>
  <si>
    <t>Department</t>
  </si>
  <si>
    <t>Designation</t>
  </si>
  <si>
    <t>Active?</t>
  </si>
  <si>
    <t>Yes</t>
  </si>
  <si>
    <t>Shift Master</t>
  </si>
  <si>
    <t>Shift</t>
  </si>
  <si>
    <t>Start Time</t>
  </si>
  <si>
    <t>End Time</t>
  </si>
  <si>
    <t>Description</t>
  </si>
  <si>
    <t>A</t>
  </si>
  <si>
    <t>06:00</t>
  </si>
  <si>
    <t>14:00</t>
  </si>
  <si>
    <t>Morning Shift</t>
  </si>
  <si>
    <t>B</t>
  </si>
  <si>
    <t>22:00</t>
  </si>
  <si>
    <t>Evening Shift</t>
  </si>
  <si>
    <t>C</t>
  </si>
  <si>
    <t>Night Shift</t>
  </si>
  <si>
    <t>G</t>
  </si>
  <si>
    <t>General</t>
  </si>
  <si>
    <t>OFF</t>
  </si>
  <si>
    <t>Weekly Off</t>
  </si>
  <si>
    <t>L</t>
  </si>
  <si>
    <t>Leave</t>
  </si>
  <si>
    <t>H</t>
  </si>
  <si>
    <t>Holiday</t>
  </si>
  <si>
    <t>Monthly Roster</t>
  </si>
  <si>
    <t>Enter the year and month above. Assign shifts/markers using the dropdowns. Blank cells are not counted as working days.</t>
  </si>
  <si>
    <t>Year</t>
  </si>
  <si>
    <t>Month</t>
  </si>
  <si>
    <t>August</t>
  </si>
  <si>
    <t>Leave Register</t>
  </si>
  <si>
    <t>Leave Type</t>
  </si>
  <si>
    <t>Days</t>
  </si>
  <si>
    <t>Remarks</t>
  </si>
  <si>
    <t>Approved?</t>
  </si>
  <si>
    <t>Roster Summary</t>
  </si>
  <si>
    <t>Working Days</t>
  </si>
  <si>
    <t>RH</t>
  </si>
  <si>
    <t>Restricted Holiday</t>
  </si>
  <si>
    <t>CO</t>
  </si>
  <si>
    <t>Compensatory OFF</t>
  </si>
  <si>
    <t>D</t>
  </si>
  <si>
    <t>E</t>
  </si>
  <si>
    <t>F</t>
  </si>
  <si>
    <t>I</t>
  </si>
  <si>
    <t>J</t>
  </si>
  <si>
    <t>K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</si>
  <si>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</si>
  <si>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</si>
  <si>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</si>
  <si>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</si>
  <si>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</si>
  <si>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</si>
  <si>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</si>
  <si>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</si>
  <si>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</si>
  <si>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</si>
  <si>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</si>
  <si>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</si>
  <si>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</si>
  <si>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</si>
  <si>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HEAD</t>
  </si>
  <si>
    <t>LEAD</t>
  </si>
  <si>
    <t>INTERN</t>
  </si>
  <si>
    <t>UL</t>
  </si>
  <si>
    <t>Unpaid Leave</t>
  </si>
  <si>
    <t>CL</t>
  </si>
  <si>
    <t>ML</t>
  </si>
  <si>
    <t>EL</t>
  </si>
  <si>
    <t>Casual Leave</t>
  </si>
  <si>
    <t>Medical Leave</t>
  </si>
  <si>
    <t>Earned Leave</t>
  </si>
  <si>
    <t>CL/2</t>
  </si>
  <si>
    <t>ML/2</t>
  </si>
  <si>
    <t>EL/2</t>
  </si>
  <si>
    <t>UL/2</t>
  </si>
  <si>
    <t>Half Day Casual Leave</t>
  </si>
  <si>
    <t>Half Day Medical Leave</t>
  </si>
  <si>
    <t>Half Day Earned Leave</t>
  </si>
  <si>
    <t>Half Day Unpaid Leave</t>
  </si>
  <si>
    <t>Total Days worked</t>
  </si>
  <si>
    <t>Date (From)</t>
  </si>
  <si>
    <t>Date (To)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</si>
</sst>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2355B"/>
      <name val="Calibri"/>
    </font>
    <font>
      <b/>
      <sz val="11"/>
      <color rgb="FFFFFFFF"/>
      <name val="Calibri"/>
    </font>
    <font>
      <i/>
      <sz val="11"/>
      <color rgb="FF68737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1769A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1E8"/>
      </left>
      <right style="thin">
        <color rgb="FFD9E1E8"/>
      </right>
      <top style="thin">
        <color rgb="FFD9E1E8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4" borderId="0" xfId="0" applyFill="1" applyAlignment="1">
      <alignment horizontal="right"/>
    </xf>
    <xf numFmtId="0" fontId="3" fillId="3" borderId="3" xfId="0" applyFont="1" applyFill="1" applyBorder="1"/>
    <xf numFmtId="0" fontId="0" fillId="0" borderId="2" xfId="0" applyBorder="1"/>
    <xf numFmtId="20" fontId="0" fillId="0" borderId="2" xfId="0" applyNumberFormat="1" applyBorder="1"/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0" borderId="1" xfId="0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3"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zoomScale="90" workbookViewId="0">
      <selection activeCell="B4" sqref="B4:F4"/>
    </sheetView>
  </sheetViews>
  <sheetFormatPr defaultRowHeight="14.4" x14ac:dyDescent="0.3"/>
  <cols>
    <col min="1" max="1" width="24" customWidth="1"/>
    <col min="2" max="6" width="20" customWidth="1"/>
  </cols>
  <sheetData>
    <row r="1" spans="1:6" ht="30" customHeight="1" x14ac:dyDescent="0.45">
      <c r="A1" s="13" t="s">
        <v>0</v>
      </c>
      <c r="B1" s="12"/>
      <c r="C1" s="12"/>
      <c r="D1" s="12"/>
      <c r="E1" s="12"/>
      <c r="F1" s="12"/>
    </row>
    <row r="3" spans="1:6" x14ac:dyDescent="0.3">
      <c r="A3" s="1" t="s">
        <v>1</v>
      </c>
      <c r="B3" s="14" t="s">
        <v>2</v>
      </c>
      <c r="C3" s="12"/>
      <c r="D3" s="12"/>
      <c r="E3" s="12"/>
      <c r="F3" s="12"/>
    </row>
    <row r="4" spans="1:6" x14ac:dyDescent="0.3">
      <c r="A4" s="1" t="s">
        <v>3</v>
      </c>
      <c r="B4" s="14" t="s">
        <v>4</v>
      </c>
      <c r="C4" s="12"/>
      <c r="D4" s="12"/>
      <c r="E4" s="12"/>
      <c r="F4" s="12"/>
    </row>
    <row r="5" spans="1:6" x14ac:dyDescent="0.3">
      <c r="A5" s="1" t="s">
        <v>5</v>
      </c>
      <c r="B5" s="14" t="s">
        <v>6</v>
      </c>
      <c r="C5" s="12"/>
      <c r="D5" s="12"/>
      <c r="E5" s="12"/>
      <c r="F5" s="12"/>
    </row>
    <row r="6" spans="1:6" x14ac:dyDescent="0.3">
      <c r="A6" s="1" t="s">
        <v>7</v>
      </c>
      <c r="B6" s="14" t="s">
        <v>8</v>
      </c>
      <c r="C6" s="12"/>
      <c r="D6" s="12"/>
      <c r="E6" s="12"/>
      <c r="F6" s="12"/>
    </row>
    <row r="7" spans="1:6" x14ac:dyDescent="0.3">
      <c r="A7" s="1" t="s">
        <v>9</v>
      </c>
      <c r="B7" s="14" t="s">
        <v>10</v>
      </c>
      <c r="C7" s="12"/>
      <c r="D7" s="12"/>
      <c r="E7" s="12"/>
      <c r="F7" s="12"/>
    </row>
    <row r="8" spans="1:6" x14ac:dyDescent="0.3">
      <c r="A8" s="1" t="s">
        <v>11</v>
      </c>
      <c r="B8" s="14" t="s">
        <v>12</v>
      </c>
      <c r="C8" s="12"/>
      <c r="D8" s="12"/>
      <c r="E8" s="12"/>
      <c r="F8" s="12"/>
    </row>
    <row r="9" spans="1:6" x14ac:dyDescent="0.3">
      <c r="A9" s="1" t="s">
        <v>13</v>
      </c>
      <c r="B9" s="14" t="s">
        <v>14</v>
      </c>
      <c r="C9" s="12"/>
      <c r="D9" s="12"/>
      <c r="E9" s="12"/>
      <c r="F9" s="12"/>
    </row>
  </sheetData>
  <mergeCells count="8">
    <mergeCell ref="A1:F1"/>
    <mergeCell ref="B3:F3"/>
    <mergeCell ref="B5:F5"/>
    <mergeCell ref="B8:F8"/>
    <mergeCell ref="B9:F9"/>
    <mergeCell ref="B4:F4"/>
    <mergeCell ref="B7:F7"/>
    <mergeCell ref="B6:F6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showGridLines="0" zoomScale="90" workbookViewId="0">
      <pane ySplit="3" topLeftCell="A4" activePane="bottomLeft" state="frozen"/>
      <selection pane="bottomLeft" activeCell="C4" sqref="C4"/>
    </sheetView>
  </sheetViews>
  <sheetFormatPr defaultRowHeight="14.4" x14ac:dyDescent="0.3"/>
  <cols>
    <col min="1" max="1" width="16" customWidth="1"/>
    <col min="2" max="2" width="24" customWidth="1"/>
    <col min="3" max="3" width="20" customWidth="1"/>
    <col min="4" max="4" width="24" customWidth="1"/>
    <col min="5" max="5" width="12" customWidth="1"/>
  </cols>
  <sheetData>
    <row r="1" spans="1:5" ht="30" customHeight="1" x14ac:dyDescent="0.45">
      <c r="A1" s="13" t="s">
        <v>15</v>
      </c>
      <c r="B1" s="12"/>
      <c r="C1" s="12"/>
      <c r="D1" s="12"/>
      <c r="E1" s="12"/>
    </row>
    <row r="3" spans="1:5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</row>
    <row r="4" spans="1:5" x14ac:dyDescent="0.3">
      <c r="A4" s="3">
        <v>1</v>
      </c>
      <c r="B4" s="3" t="s">
        <v>27</v>
      </c>
      <c r="C4" s="3">
        <v>1001</v>
      </c>
      <c r="D4" s="3" t="s">
        <v>80</v>
      </c>
      <c r="E4" s="3" t="s">
        <v>21</v>
      </c>
    </row>
    <row r="5" spans="1:5" x14ac:dyDescent="0.3">
      <c r="A5" s="3">
        <v>2</v>
      </c>
      <c r="B5" s="3" t="s">
        <v>31</v>
      </c>
      <c r="C5" s="3">
        <v>1002</v>
      </c>
      <c r="D5" s="3" t="s">
        <v>81</v>
      </c>
      <c r="E5" s="3" t="s">
        <v>21</v>
      </c>
    </row>
    <row r="6" spans="1:5" x14ac:dyDescent="0.3">
      <c r="A6" s="3">
        <v>3</v>
      </c>
      <c r="B6" s="3" t="s">
        <v>34</v>
      </c>
      <c r="C6" s="3">
        <v>1003</v>
      </c>
      <c r="D6" s="3" t="s">
        <v>82</v>
      </c>
      <c r="E6" s="3" t="s">
        <v>21</v>
      </c>
    </row>
    <row r="7" spans="1:5" x14ac:dyDescent="0.3">
      <c r="A7" s="3">
        <v>4</v>
      </c>
      <c r="B7" s="3" t="s">
        <v>60</v>
      </c>
      <c r="C7" s="3">
        <v>1004</v>
      </c>
      <c r="D7" s="3" t="s">
        <v>80</v>
      </c>
      <c r="E7" s="3" t="s">
        <v>21</v>
      </c>
    </row>
    <row r="8" spans="1:5" x14ac:dyDescent="0.3">
      <c r="A8" s="3">
        <v>5</v>
      </c>
      <c r="B8" s="3" t="s">
        <v>61</v>
      </c>
      <c r="C8" s="3">
        <v>1001</v>
      </c>
      <c r="D8" s="3" t="s">
        <v>81</v>
      </c>
      <c r="E8" s="3" t="s">
        <v>21</v>
      </c>
    </row>
    <row r="9" spans="1:5" x14ac:dyDescent="0.3">
      <c r="A9" s="3">
        <v>6</v>
      </c>
      <c r="B9" s="3" t="s">
        <v>62</v>
      </c>
      <c r="C9" s="3">
        <v>1002</v>
      </c>
      <c r="D9" s="3" t="s">
        <v>82</v>
      </c>
      <c r="E9" s="3" t="s">
        <v>21</v>
      </c>
    </row>
    <row r="10" spans="1:5" x14ac:dyDescent="0.3">
      <c r="A10" s="3">
        <v>7</v>
      </c>
      <c r="B10" s="3" t="s">
        <v>36</v>
      </c>
      <c r="C10" s="3">
        <v>1003</v>
      </c>
      <c r="D10" s="3" t="s">
        <v>80</v>
      </c>
      <c r="E10" s="3" t="s">
        <v>21</v>
      </c>
    </row>
    <row r="11" spans="1:5" x14ac:dyDescent="0.3">
      <c r="A11" s="3">
        <v>8</v>
      </c>
      <c r="B11" s="3" t="s">
        <v>42</v>
      </c>
      <c r="C11" s="3">
        <v>1004</v>
      </c>
      <c r="D11" s="3" t="s">
        <v>81</v>
      </c>
      <c r="E11" s="3" t="s">
        <v>21</v>
      </c>
    </row>
    <row r="12" spans="1:5" x14ac:dyDescent="0.3">
      <c r="A12" s="3">
        <v>9</v>
      </c>
      <c r="B12" s="3" t="s">
        <v>63</v>
      </c>
      <c r="C12" s="3">
        <v>1001</v>
      </c>
      <c r="D12" s="3" t="s">
        <v>82</v>
      </c>
      <c r="E12" s="3" t="s">
        <v>21</v>
      </c>
    </row>
    <row r="13" spans="1:5" x14ac:dyDescent="0.3">
      <c r="A13" s="3">
        <v>10</v>
      </c>
      <c r="B13" s="3" t="s">
        <v>64</v>
      </c>
      <c r="C13" s="3">
        <v>1002</v>
      </c>
      <c r="D13" s="3" t="s">
        <v>80</v>
      </c>
      <c r="E13" s="3" t="s">
        <v>21</v>
      </c>
    </row>
    <row r="14" spans="1:5" x14ac:dyDescent="0.3">
      <c r="A14" s="3">
        <v>11</v>
      </c>
      <c r="B14" s="3" t="s">
        <v>65</v>
      </c>
      <c r="C14" s="3">
        <v>1003</v>
      </c>
      <c r="D14" s="3" t="s">
        <v>81</v>
      </c>
      <c r="E14" s="3" t="s">
        <v>21</v>
      </c>
    </row>
    <row r="15" spans="1:5" x14ac:dyDescent="0.3">
      <c r="A15" s="3">
        <v>12</v>
      </c>
      <c r="B15" s="3" t="s">
        <v>40</v>
      </c>
      <c r="C15" s="3">
        <v>1004</v>
      </c>
      <c r="D15" s="3" t="s">
        <v>82</v>
      </c>
      <c r="E15" s="3" t="s">
        <v>21</v>
      </c>
    </row>
    <row r="16" spans="1:5" x14ac:dyDescent="0.3">
      <c r="A16" s="3">
        <v>13</v>
      </c>
      <c r="B16" s="3" t="s">
        <v>66</v>
      </c>
      <c r="C16" s="3">
        <v>1001</v>
      </c>
      <c r="D16" s="3" t="s">
        <v>80</v>
      </c>
      <c r="E16" s="3" t="s">
        <v>21</v>
      </c>
    </row>
    <row r="17" spans="1:5" x14ac:dyDescent="0.3">
      <c r="A17" s="3">
        <v>14</v>
      </c>
      <c r="B17" s="3" t="s">
        <v>67</v>
      </c>
      <c r="C17" s="3">
        <v>1002</v>
      </c>
      <c r="D17" s="3" t="s">
        <v>81</v>
      </c>
      <c r="E17" s="3" t="s">
        <v>21</v>
      </c>
    </row>
    <row r="18" spans="1:5" x14ac:dyDescent="0.3">
      <c r="A18" s="3">
        <v>15</v>
      </c>
      <c r="B18" s="3" t="s">
        <v>68</v>
      </c>
      <c r="C18" s="3">
        <v>1003</v>
      </c>
      <c r="D18" s="3" t="s">
        <v>82</v>
      </c>
      <c r="E18" s="3" t="s">
        <v>21</v>
      </c>
    </row>
    <row r="19" spans="1:5" x14ac:dyDescent="0.3">
      <c r="A19" s="3">
        <v>16</v>
      </c>
      <c r="B19" s="3" t="s">
        <v>69</v>
      </c>
      <c r="C19" s="3">
        <v>1004</v>
      </c>
      <c r="D19" s="3" t="s">
        <v>80</v>
      </c>
      <c r="E19" s="3" t="s">
        <v>21</v>
      </c>
    </row>
    <row r="20" spans="1:5" x14ac:dyDescent="0.3">
      <c r="A20" s="3">
        <v>17</v>
      </c>
      <c r="B20" s="3" t="s">
        <v>70</v>
      </c>
      <c r="C20" s="3">
        <v>1001</v>
      </c>
      <c r="D20" s="3" t="s">
        <v>81</v>
      </c>
      <c r="E20" s="3" t="s">
        <v>21</v>
      </c>
    </row>
    <row r="21" spans="1:5" x14ac:dyDescent="0.3">
      <c r="A21" s="3">
        <v>18</v>
      </c>
      <c r="B21" s="3" t="s">
        <v>71</v>
      </c>
      <c r="C21" s="3">
        <v>1002</v>
      </c>
      <c r="D21" s="3" t="s">
        <v>82</v>
      </c>
      <c r="E21" s="3" t="s">
        <v>21</v>
      </c>
    </row>
    <row r="22" spans="1:5" x14ac:dyDescent="0.3">
      <c r="A22" s="3">
        <v>19</v>
      </c>
      <c r="B22" s="3" t="s">
        <v>72</v>
      </c>
      <c r="C22" s="3">
        <v>1003</v>
      </c>
      <c r="D22" s="3" t="s">
        <v>80</v>
      </c>
      <c r="E22" s="3" t="s">
        <v>21</v>
      </c>
    </row>
    <row r="23" spans="1:5" x14ac:dyDescent="0.3">
      <c r="A23" s="3">
        <v>20</v>
      </c>
      <c r="B23" s="3" t="s">
        <v>73</v>
      </c>
      <c r="C23" s="3">
        <v>1004</v>
      </c>
      <c r="D23" s="3" t="s">
        <v>81</v>
      </c>
      <c r="E23" s="3" t="s">
        <v>21</v>
      </c>
    </row>
    <row r="24" spans="1:5" x14ac:dyDescent="0.3">
      <c r="A24" s="3">
        <v>21</v>
      </c>
      <c r="B24" s="3" t="s">
        <v>74</v>
      </c>
      <c r="C24" s="3">
        <v>1001</v>
      </c>
      <c r="D24" s="3" t="s">
        <v>82</v>
      </c>
      <c r="E24" s="3" t="s">
        <v>21</v>
      </c>
    </row>
    <row r="25" spans="1:5" x14ac:dyDescent="0.3">
      <c r="A25" s="3">
        <v>22</v>
      </c>
      <c r="B25" s="3" t="s">
        <v>75</v>
      </c>
      <c r="C25" s="3">
        <v>1002</v>
      </c>
      <c r="D25" s="3" t="s">
        <v>80</v>
      </c>
      <c r="E25" s="3" t="s">
        <v>21</v>
      </c>
    </row>
    <row r="26" spans="1:5" x14ac:dyDescent="0.3">
      <c r="A26" s="3">
        <v>23</v>
      </c>
      <c r="B26" s="3" t="s">
        <v>76</v>
      </c>
      <c r="C26" s="3">
        <v>1003</v>
      </c>
      <c r="D26" s="3" t="s">
        <v>81</v>
      </c>
      <c r="E26" s="3" t="s">
        <v>21</v>
      </c>
    </row>
    <row r="27" spans="1:5" x14ac:dyDescent="0.3">
      <c r="A27" s="3">
        <v>24</v>
      </c>
      <c r="B27" s="3" t="s">
        <v>77</v>
      </c>
      <c r="C27" s="3">
        <v>1004</v>
      </c>
      <c r="D27" s="3" t="s">
        <v>82</v>
      </c>
      <c r="E27" s="3" t="s">
        <v>21</v>
      </c>
    </row>
    <row r="28" spans="1:5" x14ac:dyDescent="0.3">
      <c r="A28" s="3">
        <v>25</v>
      </c>
      <c r="B28" s="3" t="s">
        <v>78</v>
      </c>
      <c r="C28" s="3">
        <v>1001</v>
      </c>
      <c r="D28" s="3" t="s">
        <v>80</v>
      </c>
      <c r="E28" s="3" t="s">
        <v>21</v>
      </c>
    </row>
    <row r="29" spans="1:5" x14ac:dyDescent="0.3">
      <c r="A29" s="3">
        <v>26</v>
      </c>
      <c r="B29" s="3" t="s">
        <v>79</v>
      </c>
      <c r="C29" s="3">
        <v>1002</v>
      </c>
      <c r="D29" s="3" t="s">
        <v>81</v>
      </c>
      <c r="E29" s="3" t="s">
        <v>21</v>
      </c>
    </row>
    <row r="30" spans="1:5" x14ac:dyDescent="0.3">
      <c r="A30" s="3"/>
      <c r="B30" s="3"/>
      <c r="C30" s="3"/>
      <c r="D30" s="3"/>
      <c r="E30" s="3" t="s">
        <v>21</v>
      </c>
    </row>
    <row r="31" spans="1:5" x14ac:dyDescent="0.3">
      <c r="A31" s="3"/>
      <c r="B31" s="3"/>
      <c r="C31" s="3"/>
      <c r="D31" s="3"/>
      <c r="E31" s="3" t="s">
        <v>21</v>
      </c>
    </row>
    <row r="32" spans="1:5" x14ac:dyDescent="0.3">
      <c r="A32" s="3"/>
      <c r="B32" s="3"/>
      <c r="C32" s="3"/>
      <c r="D32" s="3"/>
      <c r="E32" s="3" t="s">
        <v>21</v>
      </c>
    </row>
    <row r="33" spans="1:5" x14ac:dyDescent="0.3">
      <c r="A33" s="3"/>
      <c r="B33" s="3"/>
      <c r="C33" s="3"/>
      <c r="D33" s="3"/>
      <c r="E33" s="3" t="s">
        <v>21</v>
      </c>
    </row>
  </sheetData>
  <sheetProtection algorithmName="SHA-512" hashValue="zBCzuEhTe/87CqIYSSu8fjXPXdAaadZit0cTSsYmUV0fMHnxHa1BKQTgAO4Cwd/UF9mo5qJJPdvgvMMx0t0kNw==" saltValue="gZC/F3EhHS5dImcfbQjTLg==" spinCount="100000" sheet="1" objects="1" scenarios="1"/>
  <autoFilter ref="A3:E33" xr:uid="{00000000-0009-0000-0000-000001000000}"/>
  <mergeCells count="1">
    <mergeCell ref="A1:E1"/>
  </mergeCells>
  <dataValidations count="1">
    <dataValidation type="list" allowBlank="1" sqref="E4:E33" xr:uid="{00000000-0002-0000-0100-000000000000}">
      <formula1>"Yes,No"</formula1>
    </dataValidation>
  </dataValidation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="90" workbookViewId="0">
      <pane ySplit="3" topLeftCell="A4" activePane="bottomLeft" state="frozen"/>
      <selection pane="bottomLeft" activeCell="E21" sqref="E21"/>
    </sheetView>
  </sheetViews>
  <sheetFormatPr defaultRowHeight="14.4" x14ac:dyDescent="0.3"/>
  <cols>
    <col min="1" max="1" width="14" customWidth="1"/>
    <col min="2" max="3" width="16" customWidth="1"/>
    <col min="4" max="4" width="28" customWidth="1"/>
  </cols>
  <sheetData>
    <row r="1" spans="1:4" ht="30" customHeight="1" x14ac:dyDescent="0.45">
      <c r="A1" s="13" t="s">
        <v>22</v>
      </c>
      <c r="B1" s="12"/>
      <c r="C1" s="12"/>
      <c r="D1" s="12"/>
    </row>
    <row r="3" spans="1:4" x14ac:dyDescent="0.3">
      <c r="A3" s="8" t="s">
        <v>23</v>
      </c>
      <c r="B3" s="8" t="s">
        <v>24</v>
      </c>
      <c r="C3" s="8" t="s">
        <v>25</v>
      </c>
      <c r="D3" s="8" t="s">
        <v>26</v>
      </c>
    </row>
    <row r="4" spans="1:4" x14ac:dyDescent="0.3">
      <c r="A4" s="9" t="s">
        <v>27</v>
      </c>
      <c r="B4" s="10" t="s">
        <v>28</v>
      </c>
      <c r="C4" s="10" t="s">
        <v>29</v>
      </c>
      <c r="D4" s="9" t="s">
        <v>30</v>
      </c>
    </row>
    <row r="5" spans="1:4" x14ac:dyDescent="0.3">
      <c r="A5" s="9" t="s">
        <v>31</v>
      </c>
      <c r="B5" s="10" t="s">
        <v>29</v>
      </c>
      <c r="C5" s="10" t="s">
        <v>32</v>
      </c>
      <c r="D5" s="9" t="s">
        <v>33</v>
      </c>
    </row>
    <row r="6" spans="1:4" x14ac:dyDescent="0.3">
      <c r="A6" s="9" t="s">
        <v>34</v>
      </c>
      <c r="B6" s="10" t="s">
        <v>32</v>
      </c>
      <c r="C6" s="10" t="s">
        <v>28</v>
      </c>
      <c r="D6" s="9" t="s">
        <v>35</v>
      </c>
    </row>
    <row r="7" spans="1:4" x14ac:dyDescent="0.3">
      <c r="A7" s="9" t="s">
        <v>36</v>
      </c>
      <c r="B7" s="9"/>
      <c r="C7" s="9"/>
      <c r="D7" s="9" t="s">
        <v>37</v>
      </c>
    </row>
    <row r="8" spans="1:4" x14ac:dyDescent="0.3">
      <c r="A8" s="9" t="s">
        <v>38</v>
      </c>
      <c r="B8" s="9"/>
      <c r="C8" s="9"/>
      <c r="D8" s="9" t="s">
        <v>39</v>
      </c>
    </row>
    <row r="9" spans="1:4" x14ac:dyDescent="0.3">
      <c r="A9" s="9" t="s">
        <v>40</v>
      </c>
      <c r="B9" s="9"/>
      <c r="C9" s="9"/>
      <c r="D9" s="9" t="s">
        <v>41</v>
      </c>
    </row>
    <row r="10" spans="1:4" x14ac:dyDescent="0.3">
      <c r="A10" s="9" t="s">
        <v>42</v>
      </c>
      <c r="B10" s="9"/>
      <c r="C10" s="9"/>
      <c r="D10" s="9" t="s">
        <v>43</v>
      </c>
    </row>
    <row r="11" spans="1:4" x14ac:dyDescent="0.3">
      <c r="A11" s="9" t="s">
        <v>56</v>
      </c>
      <c r="B11" s="9"/>
      <c r="C11" s="9"/>
      <c r="D11" s="9" t="s">
        <v>57</v>
      </c>
    </row>
    <row r="12" spans="1:4" x14ac:dyDescent="0.3">
      <c r="A12" s="9" t="s">
        <v>58</v>
      </c>
      <c r="B12" s="9"/>
      <c r="C12" s="9"/>
      <c r="D12" s="9" t="s">
        <v>59</v>
      </c>
    </row>
    <row r="13" spans="1:4" x14ac:dyDescent="0.3">
      <c r="A13" s="9" t="s">
        <v>85</v>
      </c>
      <c r="B13" s="9"/>
      <c r="C13" s="9"/>
      <c r="D13" s="9" t="s">
        <v>88</v>
      </c>
    </row>
    <row r="14" spans="1:4" x14ac:dyDescent="0.3">
      <c r="A14" s="9" t="s">
        <v>86</v>
      </c>
      <c r="B14" s="9"/>
      <c r="C14" s="9"/>
      <c r="D14" s="9" t="s">
        <v>89</v>
      </c>
    </row>
    <row r="15" spans="1:4" x14ac:dyDescent="0.3">
      <c r="A15" s="9" t="s">
        <v>87</v>
      </c>
      <c r="B15" s="9"/>
      <c r="C15" s="9"/>
      <c r="D15" s="9" t="s">
        <v>90</v>
      </c>
    </row>
    <row r="16" spans="1:4" x14ac:dyDescent="0.3">
      <c r="A16" s="9" t="s">
        <v>83</v>
      </c>
      <c r="B16" s="9"/>
      <c r="C16" s="9"/>
      <c r="D16" s="9" t="s">
        <v>84</v>
      </c>
    </row>
    <row r="17" spans="1:4" x14ac:dyDescent="0.3">
      <c r="A17" s="9" t="s">
        <v>91</v>
      </c>
      <c r="B17" s="9"/>
      <c r="C17" s="9"/>
      <c r="D17" s="9" t="s">
        <v>95</v>
      </c>
    </row>
    <row r="18" spans="1:4" x14ac:dyDescent="0.3">
      <c r="A18" s="9" t="s">
        <v>92</v>
      </c>
      <c r="B18" s="9"/>
      <c r="C18" s="9"/>
      <c r="D18" s="9" t="s">
        <v>96</v>
      </c>
    </row>
    <row r="19" spans="1:4" x14ac:dyDescent="0.3">
      <c r="A19" s="9" t="s">
        <v>93</v>
      </c>
      <c r="B19" s="9"/>
      <c r="C19" s="9"/>
      <c r="D19" s="9" t="s">
        <v>97</v>
      </c>
    </row>
    <row r="20" spans="1:4" x14ac:dyDescent="0.3">
      <c r="A20" s="9" t="s">
        <v>94</v>
      </c>
      <c r="B20" s="9"/>
      <c r="C20" s="9"/>
      <c r="D20" s="9" t="s">
        <v>98</v>
      </c>
    </row>
  </sheetData>
  <mergeCells count="1">
    <mergeCell ref="A1:D1"/>
  </mergeCells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6"/>
  <sheetViews>
    <sheetView showGridLines="0" zoomScale="90" workbookViewId="0">
      <pane xSplit="4" ySplit="6" topLeftCell="R18" activePane="bottomRight" state="frozen"/>
      <selection pane="topRight"/>
      <selection pane="bottomLeft"/>
      <selection pane="bottomRight" activeCell="D18" sqref="D18"/>
    </sheetView>
  </sheetViews>
  <sheetFormatPr defaultRowHeight="14.4" x14ac:dyDescent="0.3"/>
  <cols>
    <col min="1" max="1" width="16" customWidth="1"/>
    <col min="2" max="2" width="24" customWidth="1"/>
    <col min="3" max="3" width="18" customWidth="1"/>
    <col min="4" max="4" width="20" customWidth="1"/>
    <col min="5" max="13" width="7.109375" bestFit="1" customWidth="1"/>
    <col min="14" max="35" width="8.21875" bestFit="1" customWidth="1"/>
  </cols>
  <sheetData>
    <row r="1" spans="1:35" ht="30" customHeight="1" x14ac:dyDescent="0.45">
      <c r="A1" s="13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spans="1:35" x14ac:dyDescent="0.3">
      <c r="A2" s="11" t="s">
        <v>45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 spans="1:35" x14ac:dyDescent="0.3">
      <c r="A3" s="1" t="s">
        <v>46</v>
      </c>
      <c r="B3" s="7">
        <v>2026</v>
      </c>
    </row>
    <row r="4" spans="1:35" x14ac:dyDescent="0.3">
      <c r="A4" s="1" t="s">
        <v>47</v>
      </c>
      <c r="B4" s="7" t="s">
        <v>48</v>
      </c>
    </row>
    <row r="6" spans="1:35" x14ac:dyDescent="0.3">
      <c r="A6" s="2" t="s">
        <v>16</v>
      </c>
      <c r="B6" s="2" t="s">
        <v>17</v>
      </c>
      <c r="C6" s="2" t="s">
        <v>18</v>
      </c>
      <c r="D6" s="2" t="s">
        <v>19</v>
      </c>
      <c r="E6" s="16">
        <v>1</v>
      </c>
      <c r="F6" s="16">
        <v>2</v>
      </c>
      <c r="G6" s="16">
        <v>3</v>
      </c>
      <c r="H6" s="16">
        <v>4</v>
      </c>
      <c r="I6" s="16">
        <v>5</v>
      </c>
      <c r="J6" s="16">
        <v>6</v>
      </c>
      <c r="K6" s="16">
        <v>7</v>
      </c>
      <c r="L6" s="16">
        <v>8</v>
      </c>
      <c r="M6" s="16">
        <v>9</v>
      </c>
      <c r="N6" s="16">
        <v>10</v>
      </c>
      <c r="O6" s="16">
        <v>11</v>
      </c>
      <c r="P6" s="16">
        <v>12</v>
      </c>
      <c r="Q6" s="16">
        <v>13</v>
      </c>
      <c r="R6" s="16">
        <v>14</v>
      </c>
      <c r="S6" s="16">
        <v>15</v>
      </c>
      <c r="T6" s="16">
        <v>16</v>
      </c>
      <c r="U6" s="16">
        <v>17</v>
      </c>
      <c r="V6" s="16">
        <v>18</v>
      </c>
      <c r="W6" s="16">
        <v>19</v>
      </c>
      <c r="X6" s="16">
        <v>20</v>
      </c>
      <c r="Y6" s="16">
        <v>21</v>
      </c>
      <c r="Z6" s="16">
        <v>22</v>
      </c>
      <c r="AA6" s="16">
        <v>23</v>
      </c>
      <c r="AB6" s="16">
        <v>24</v>
      </c>
      <c r="AC6" s="16">
        <v>25</v>
      </c>
      <c r="AD6" s="16">
        <v>26</v>
      </c>
      <c r="AE6" s="16">
        <v>27</v>
      </c>
      <c r="AF6" s="16">
        <v>28</v>
      </c>
      <c r="AG6" s="16">
        <v>29</v>
      </c>
      <c r="AH6" s="16">
        <v>30</v>
      </c>
      <c r="AI6" s="16">
        <v>31</v>
      </c>
    </row>
    <row r="7" spans="1:35" ht="19.95" customHeight="1" x14ac:dyDescent="0.3">
      <c r="A7" s="4">
        <f>'Employee Master'!A4</f>
        <v>1</v>
      </c>
      <c r="B7" s="5" t="str">
        <f>'Employee Master'!B4</f>
        <v>A</v>
      </c>
      <c r="C7" s="4">
        <f>'Employee Master'!C4</f>
        <v>1001</v>
      </c>
      <c r="D7" s="4" t="str">
        <f>'Employee Master'!D4</f>
        <v>HEAD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 ht="19.95" customHeight="1" x14ac:dyDescent="0.3">
      <c r="A8" s="4">
        <f>'Employee Master'!A5</f>
        <v>2</v>
      </c>
      <c r="B8" s="5" t="str">
        <f>'Employee Master'!B5</f>
        <v>B</v>
      </c>
      <c r="C8" s="4">
        <f>'Employee Master'!C5</f>
        <v>1002</v>
      </c>
      <c r="D8" s="4" t="str">
        <f>'Employee Master'!D5</f>
        <v>LEAD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spans="1:35" ht="19.95" customHeight="1" x14ac:dyDescent="0.3">
      <c r="A9" s="4">
        <f>'Employee Master'!A6</f>
        <v>3</v>
      </c>
      <c r="B9" s="5" t="str">
        <f>'Employee Master'!B6</f>
        <v>C</v>
      </c>
      <c r="C9" s="4">
        <f>'Employee Master'!C6</f>
        <v>1003</v>
      </c>
      <c r="D9" s="4" t="str">
        <f>'Employee Master'!D6</f>
        <v>INTERN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spans="1:35" ht="19.95" customHeight="1" x14ac:dyDescent="0.3">
      <c r="A10" s="4">
        <f>'Employee Master'!A7</f>
        <v>4</v>
      </c>
      <c r="B10" s="5" t="str">
        <f>'Employee Master'!B7</f>
        <v>D</v>
      </c>
      <c r="C10" s="4">
        <f>'Employee Master'!C7</f>
        <v>1004</v>
      </c>
      <c r="D10" s="4" t="str">
        <f>'Employee Master'!D7</f>
        <v>HEAD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 ht="19.95" customHeight="1" x14ac:dyDescent="0.3">
      <c r="A11" s="4">
        <f>'Employee Master'!A8</f>
        <v>5</v>
      </c>
      <c r="B11" s="5" t="str">
        <f>'Employee Master'!B8</f>
        <v>E</v>
      </c>
      <c r="C11" s="4">
        <f>'Employee Master'!C8</f>
        <v>1001</v>
      </c>
      <c r="D11" s="4" t="str">
        <f>'Employee Master'!D8</f>
        <v>LEAD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ht="19.95" customHeight="1" x14ac:dyDescent="0.3">
      <c r="A12" s="4">
        <f>'Employee Master'!A9</f>
        <v>6</v>
      </c>
      <c r="B12" s="5" t="str">
        <f>'Employee Master'!B9</f>
        <v>F</v>
      </c>
      <c r="C12" s="4">
        <f>'Employee Master'!C9</f>
        <v>1002</v>
      </c>
      <c r="D12" s="4" t="str">
        <f>'Employee Master'!D9</f>
        <v>INTERN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 ht="19.95" customHeight="1" x14ac:dyDescent="0.3">
      <c r="A13" s="4">
        <f>'Employee Master'!A10</f>
        <v>7</v>
      </c>
      <c r="B13" s="5" t="str">
        <f>'Employee Master'!B10</f>
        <v>G</v>
      </c>
      <c r="C13" s="4">
        <f>'Employee Master'!C10</f>
        <v>1003</v>
      </c>
      <c r="D13" s="4" t="str">
        <f>'Employee Master'!D10</f>
        <v>HEAD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 ht="19.95" customHeight="1" x14ac:dyDescent="0.3">
      <c r="A14" s="4">
        <f>'Employee Master'!A11</f>
        <v>8</v>
      </c>
      <c r="B14" s="5" t="str">
        <f>'Employee Master'!B11</f>
        <v>H</v>
      </c>
      <c r="C14" s="4">
        <f>'Employee Master'!C11</f>
        <v>1004</v>
      </c>
      <c r="D14" s="4" t="str">
        <f>'Employee Master'!D11</f>
        <v>LEAD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 ht="19.95" customHeight="1" x14ac:dyDescent="0.3">
      <c r="A15" s="4">
        <f>'Employee Master'!A12</f>
        <v>9</v>
      </c>
      <c r="B15" s="5" t="str">
        <f>'Employee Master'!B12</f>
        <v>I</v>
      </c>
      <c r="C15" s="4">
        <f>'Employee Master'!C12</f>
        <v>1001</v>
      </c>
      <c r="D15" s="4" t="str">
        <f>'Employee Master'!D12</f>
        <v>INTERN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 ht="19.95" customHeight="1" x14ac:dyDescent="0.3">
      <c r="A16" s="4">
        <f>'Employee Master'!A13</f>
        <v>10</v>
      </c>
      <c r="B16" s="5" t="str">
        <f>'Employee Master'!B13</f>
        <v>J</v>
      </c>
      <c r="C16" s="4">
        <f>'Employee Master'!C13</f>
        <v>1002</v>
      </c>
      <c r="D16" s="4" t="str">
        <f>'Employee Master'!D13</f>
        <v>HEAD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 ht="19.95" customHeight="1" x14ac:dyDescent="0.3">
      <c r="A17" s="4">
        <f>'Employee Master'!A14</f>
        <v>11</v>
      </c>
      <c r="B17" s="5" t="str">
        <f>'Employee Master'!B14</f>
        <v>K</v>
      </c>
      <c r="C17" s="4">
        <f>'Employee Master'!C14</f>
        <v>1003</v>
      </c>
      <c r="D17" s="4" t="str">
        <f>'Employee Master'!D14</f>
        <v>LEAD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 ht="19.95" customHeight="1" x14ac:dyDescent="0.3">
      <c r="A18" s="4">
        <f>'Employee Master'!A15</f>
        <v>12</v>
      </c>
      <c r="B18" s="5" t="str">
        <f>'Employee Master'!B15</f>
        <v>L</v>
      </c>
      <c r="C18" s="4">
        <f>'Employee Master'!C15</f>
        <v>1004</v>
      </c>
      <c r="D18" s="4" t="str">
        <f>'Employee Master'!D15</f>
        <v>INTERN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 ht="19.95" customHeight="1" x14ac:dyDescent="0.3">
      <c r="A19" s="4">
        <f>'Employee Master'!A16</f>
        <v>13</v>
      </c>
      <c r="B19" s="5" t="str">
        <f>'Employee Master'!B16</f>
        <v>M</v>
      </c>
      <c r="C19" s="4">
        <f>'Employee Master'!C16</f>
        <v>1001</v>
      </c>
      <c r="D19" s="4" t="str">
        <f>'Employee Master'!D16</f>
        <v>HEAD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 ht="19.95" customHeight="1" x14ac:dyDescent="0.3">
      <c r="A20" s="4">
        <f>'Employee Master'!A17</f>
        <v>14</v>
      </c>
      <c r="B20" s="5" t="str">
        <f>'Employee Master'!B17</f>
        <v>N</v>
      </c>
      <c r="C20" s="4">
        <f>'Employee Master'!C17</f>
        <v>1002</v>
      </c>
      <c r="D20" s="4" t="str">
        <f>'Employee Master'!D17</f>
        <v>LEAD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 ht="19.95" customHeight="1" x14ac:dyDescent="0.3">
      <c r="A21" s="4">
        <f>'Employee Master'!A18</f>
        <v>15</v>
      </c>
      <c r="B21" s="5" t="str">
        <f>'Employee Master'!B18</f>
        <v>O</v>
      </c>
      <c r="C21" s="4">
        <f>'Employee Master'!C18</f>
        <v>1003</v>
      </c>
      <c r="D21" s="4" t="str">
        <f>'Employee Master'!D18</f>
        <v>INTERN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 ht="19.95" customHeight="1" x14ac:dyDescent="0.3">
      <c r="A22" s="4">
        <f>'Employee Master'!A19</f>
        <v>16</v>
      </c>
      <c r="B22" s="5" t="str">
        <f>'Employee Master'!B19</f>
        <v>P</v>
      </c>
      <c r="C22" s="4">
        <f>'Employee Master'!C19</f>
        <v>1004</v>
      </c>
      <c r="D22" s="4" t="str">
        <f>'Employee Master'!D19</f>
        <v>HEAD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 ht="19.95" customHeight="1" x14ac:dyDescent="0.3">
      <c r="A23" s="4">
        <f>'Employee Master'!A20</f>
        <v>17</v>
      </c>
      <c r="B23" s="5" t="str">
        <f>'Employee Master'!B20</f>
        <v>Q</v>
      </c>
      <c r="C23" s="4">
        <f>'Employee Master'!C20</f>
        <v>1001</v>
      </c>
      <c r="D23" s="4" t="str">
        <f>'Employee Master'!D20</f>
        <v>LEAD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 ht="19.95" customHeight="1" x14ac:dyDescent="0.3">
      <c r="A24" s="4">
        <f>'Employee Master'!A21</f>
        <v>18</v>
      </c>
      <c r="B24" s="5" t="str">
        <f>'Employee Master'!B21</f>
        <v>R</v>
      </c>
      <c r="C24" s="4">
        <f>'Employee Master'!C21</f>
        <v>1002</v>
      </c>
      <c r="D24" s="4" t="str">
        <f>'Employee Master'!D21</f>
        <v>INTERN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 ht="19.95" customHeight="1" x14ac:dyDescent="0.3">
      <c r="A25" s="4">
        <f>'Employee Master'!A22</f>
        <v>19</v>
      </c>
      <c r="B25" s="5" t="str">
        <f>'Employee Master'!B22</f>
        <v>S</v>
      </c>
      <c r="C25" s="4">
        <f>'Employee Master'!C22</f>
        <v>1003</v>
      </c>
      <c r="D25" s="4" t="str">
        <f>'Employee Master'!D22</f>
        <v>HEAD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 ht="19.95" customHeight="1" x14ac:dyDescent="0.3">
      <c r="A26" s="4">
        <f>'Employee Master'!A23</f>
        <v>20</v>
      </c>
      <c r="B26" s="5" t="str">
        <f>'Employee Master'!B23</f>
        <v>T</v>
      </c>
      <c r="C26" s="4">
        <f>'Employee Master'!C23</f>
        <v>1004</v>
      </c>
      <c r="D26" s="4" t="str">
        <f>'Employee Master'!D23</f>
        <v>LEAD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pans="1:35" ht="19.95" customHeight="1" x14ac:dyDescent="0.3">
      <c r="A27" s="4">
        <f>'Employee Master'!A24</f>
        <v>21</v>
      </c>
      <c r="B27" s="5" t="str">
        <f>'Employee Master'!B24</f>
        <v>U</v>
      </c>
      <c r="C27" s="4">
        <f>'Employee Master'!C24</f>
        <v>1001</v>
      </c>
      <c r="D27" s="4" t="str">
        <f>'Employee Master'!D24</f>
        <v>INTERN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 ht="19.95" customHeight="1" x14ac:dyDescent="0.3">
      <c r="A28" s="4">
        <f>'Employee Master'!A25</f>
        <v>22</v>
      </c>
      <c r="B28" s="5" t="str">
        <f>'Employee Master'!B25</f>
        <v>V</v>
      </c>
      <c r="C28" s="4">
        <f>'Employee Master'!C25</f>
        <v>1002</v>
      </c>
      <c r="D28" s="4" t="str">
        <f>'Employee Master'!D25</f>
        <v>HEAD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spans="1:35" ht="19.95" customHeight="1" x14ac:dyDescent="0.3">
      <c r="A29" s="4">
        <f>'Employee Master'!A26</f>
        <v>23</v>
      </c>
      <c r="B29" s="5" t="str">
        <f>'Employee Master'!B26</f>
        <v>W</v>
      </c>
      <c r="C29" s="4">
        <f>'Employee Master'!C26</f>
        <v>1003</v>
      </c>
      <c r="D29" s="4" t="str">
        <f>'Employee Master'!D26</f>
        <v>LEAD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 ht="19.95" customHeight="1" x14ac:dyDescent="0.3">
      <c r="A30" s="4">
        <f>'Employee Master'!A27</f>
        <v>24</v>
      </c>
      <c r="B30" s="5" t="str">
        <f>'Employee Master'!B27</f>
        <v>X</v>
      </c>
      <c r="C30" s="4">
        <f>'Employee Master'!C27</f>
        <v>1004</v>
      </c>
      <c r="D30" s="4" t="str">
        <f>'Employee Master'!D27</f>
        <v>INTERN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1:35" ht="19.95" customHeight="1" x14ac:dyDescent="0.3">
      <c r="A31" s="4">
        <f>'Employee Master'!A28</f>
        <v>25</v>
      </c>
      <c r="B31" s="5" t="str">
        <f>'Employee Master'!B28</f>
        <v>Y</v>
      </c>
      <c r="C31" s="4">
        <f>'Employee Master'!C28</f>
        <v>1001</v>
      </c>
      <c r="D31" s="4" t="str">
        <f>'Employee Master'!D28</f>
        <v>HEAD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 ht="19.95" customHeight="1" x14ac:dyDescent="0.3">
      <c r="A32" s="4">
        <f>'Employee Master'!A29</f>
        <v>26</v>
      </c>
      <c r="B32" s="5" t="str">
        <f>'Employee Master'!B29</f>
        <v>Z</v>
      </c>
      <c r="C32" s="4">
        <f>'Employee Master'!C29</f>
        <v>1002</v>
      </c>
      <c r="D32" s="4" t="str">
        <f>'Employee Master'!D29</f>
        <v>LEAD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1:35" ht="19.95" customHeight="1" x14ac:dyDescent="0.3">
      <c r="A33" s="4">
        <f>'Employee Master'!A30</f>
        <v>0</v>
      </c>
      <c r="B33" s="5">
        <f>'Employee Master'!B30</f>
        <v>0</v>
      </c>
      <c r="C33" s="4">
        <f>'Employee Master'!C30</f>
        <v>0</v>
      </c>
      <c r="D33" s="4">
        <f>'Employee Master'!D30</f>
        <v>0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 ht="19.95" customHeight="1" x14ac:dyDescent="0.3">
      <c r="A34" s="4">
        <f>'Employee Master'!A31</f>
        <v>0</v>
      </c>
      <c r="B34" s="5">
        <f>'Employee Master'!B31</f>
        <v>0</v>
      </c>
      <c r="C34" s="4">
        <f>'Employee Master'!C31</f>
        <v>0</v>
      </c>
      <c r="D34" s="4">
        <f>'Employee Master'!D31</f>
        <v>0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1:35" ht="19.95" customHeight="1" x14ac:dyDescent="0.3">
      <c r="A35" s="4">
        <f>'Employee Master'!A32</f>
        <v>0</v>
      </c>
      <c r="B35" s="5">
        <f>'Employee Master'!B32</f>
        <v>0</v>
      </c>
      <c r="C35" s="4">
        <f>'Employee Master'!C32</f>
        <v>0</v>
      </c>
      <c r="D35" s="4">
        <f>'Employee Master'!D32</f>
        <v>0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ht="19.95" customHeight="1" x14ac:dyDescent="0.3">
      <c r="A36" s="4">
        <f>'Employee Master'!A33</f>
        <v>0</v>
      </c>
      <c r="B36" s="5">
        <f>'Employee Master'!B33</f>
        <v>0</v>
      </c>
      <c r="C36" s="4">
        <f>'Employee Master'!C33</f>
        <v>0</v>
      </c>
      <c r="D36" s="4">
        <f>'Employee Master'!D33</f>
        <v>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</sheetData>
  <sheetProtection algorithmName="SHA-512" hashValue="VOhRjC3AV9Q9IO9SI02x4lnJzuNRsZLLz1JXD/xkCu7RQfkmevD2LzKFC/Qaa/WnZYT+k/+5t2AwRr/o+yZHDw==" saltValue="ytj2fFeffrIvaj8L2wgTOA==" spinCount="100000" sheet="1" objects="1" scenarios="1"/>
  <autoFilter ref="A6:AI36" xr:uid="{00000000-0009-0000-0000-000003000000}"/>
  <mergeCells count="2">
    <mergeCell ref="A2:AI2"/>
    <mergeCell ref="A1:AI1"/>
  </mergeCells>
  <conditionalFormatting sqref="E7:AI36">
    <cfRule type="expression" dxfId="2" priority="1">
      <formula>E7="OFF"</formula>
    </cfRule>
    <cfRule type="expression" dxfId="1" priority="2">
      <formula>E7="L"</formula>
    </cfRule>
    <cfRule type="expression" dxfId="0" priority="3">
      <formula>E7="H"</formula>
    </cfRule>
  </conditionalFormatting>
  <pageMargins left="0.25" right="0.25" top="0.5" bottom="0.5" header="0.5" footer="0.5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3FDFA784-EF8B-4842-ABDF-118F90947E61}">
          <x14:formula1>
            <xm:f>'Shift Master'!$A$4:$A$20</xm:f>
          </x14:formula1>
          <xm:sqref>E7:AI36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showGridLines="0" zoomScale="90" workbookViewId="0">
      <pane ySplit="3" topLeftCell="A4" activePane="bottomLeft" state="frozen"/>
      <selection pane="bottomLeft" activeCell="G9" sqref="G9"/>
    </sheetView>
  </sheetViews>
  <sheetFormatPr defaultRowHeight="14.4" x14ac:dyDescent="0.3"/>
  <cols>
    <col min="1" max="2" width="14" customWidth="1"/>
    <col min="3" max="3" width="16" customWidth="1"/>
    <col min="4" max="4" width="24" customWidth="1"/>
    <col min="5" max="5" width="18" customWidth="1"/>
    <col min="6" max="6" width="10" customWidth="1"/>
    <col min="7" max="7" width="30" customWidth="1"/>
    <col min="8" max="8" width="20.21875" customWidth="1"/>
  </cols>
  <sheetData>
    <row r="1" spans="1:8" ht="30" customHeight="1" x14ac:dyDescent="0.45">
      <c r="A1" s="13" t="s">
        <v>49</v>
      </c>
      <c r="B1" s="13"/>
      <c r="C1" s="12"/>
      <c r="D1" s="12"/>
      <c r="E1" s="12"/>
      <c r="F1" s="12"/>
      <c r="G1" s="12"/>
      <c r="H1" s="12"/>
    </row>
    <row r="3" spans="1:8" x14ac:dyDescent="0.3">
      <c r="A3" s="2" t="s">
        <v>100</v>
      </c>
      <c r="B3" s="2" t="s">
        <v>101</v>
      </c>
      <c r="C3" s="2" t="s">
        <v>16</v>
      </c>
      <c r="D3" s="2" t="s">
        <v>17</v>
      </c>
      <c r="E3" s="2" t="s">
        <v>50</v>
      </c>
      <c r="F3" s="2" t="s">
        <v>51</v>
      </c>
      <c r="G3" s="2" t="s">
        <v>52</v>
      </c>
      <c r="H3" s="2" t="s">
        <v>53</v>
      </c>
    </row>
    <row r="4" spans="1:8" x14ac:dyDescent="0.3">
      <c r="A4" s="6"/>
      <c r="B4" s="6"/>
      <c r="C4" s="3"/>
      <c r="D4" s="3"/>
      <c r="E4" s="3"/>
      <c r="F4" s="3"/>
      <c r="G4" s="3"/>
      <c r="H4" s="3"/>
    </row>
    <row r="5" spans="1:8" x14ac:dyDescent="0.3">
      <c r="A5" s="6"/>
      <c r="B5" s="6"/>
      <c r="C5" s="3"/>
      <c r="D5" s="3"/>
      <c r="E5" s="3"/>
      <c r="F5" s="3"/>
      <c r="G5" s="3"/>
      <c r="H5" s="3"/>
    </row>
    <row r="6" spans="1:8" x14ac:dyDescent="0.3">
      <c r="A6" s="6"/>
      <c r="B6" s="6"/>
      <c r="C6" s="3"/>
      <c r="D6" s="3"/>
      <c r="E6" s="3"/>
      <c r="F6" s="3"/>
      <c r="G6" s="3"/>
      <c r="H6" s="3"/>
    </row>
    <row r="7" spans="1:8" x14ac:dyDescent="0.3">
      <c r="A7" s="6"/>
      <c r="B7" s="6"/>
      <c r="C7" s="3"/>
      <c r="D7" s="3"/>
      <c r="E7" s="3"/>
      <c r="F7" s="3"/>
      <c r="G7" s="3"/>
      <c r="H7" s="3"/>
    </row>
    <row r="8" spans="1:8" x14ac:dyDescent="0.3">
      <c r="A8" s="6"/>
      <c r="B8" s="6"/>
      <c r="C8" s="3"/>
      <c r="D8" s="3"/>
      <c r="E8" s="3"/>
      <c r="F8" s="3"/>
      <c r="G8" s="3"/>
      <c r="H8" s="3"/>
    </row>
    <row r="9" spans="1:8" x14ac:dyDescent="0.3">
      <c r="A9" s="6"/>
      <c r="B9" s="6"/>
      <c r="C9" s="3"/>
      <c r="D9" s="3"/>
      <c r="E9" s="3"/>
      <c r="F9" s="3"/>
      <c r="G9" s="3"/>
      <c r="H9" s="3"/>
    </row>
    <row r="10" spans="1:8" x14ac:dyDescent="0.3">
      <c r="A10" s="6"/>
      <c r="B10" s="6"/>
      <c r="C10" s="3"/>
      <c r="D10" s="3"/>
      <c r="E10" s="3"/>
      <c r="F10" s="3"/>
      <c r="G10" s="3"/>
      <c r="H10" s="3"/>
    </row>
    <row r="11" spans="1:8" x14ac:dyDescent="0.3">
      <c r="A11" s="6"/>
      <c r="B11" s="6"/>
      <c r="C11" s="3"/>
      <c r="D11" s="3"/>
      <c r="E11" s="3"/>
      <c r="F11" s="3"/>
      <c r="G11" s="3"/>
      <c r="H11" s="3"/>
    </row>
    <row r="12" spans="1:8" x14ac:dyDescent="0.3">
      <c r="A12" s="6"/>
      <c r="B12" s="6"/>
      <c r="C12" s="3"/>
      <c r="D12" s="3"/>
      <c r="E12" s="3"/>
      <c r="F12" s="3"/>
      <c r="G12" s="3"/>
      <c r="H12" s="3"/>
    </row>
    <row r="13" spans="1:8" x14ac:dyDescent="0.3">
      <c r="A13" s="6"/>
      <c r="B13" s="6"/>
      <c r="C13" s="3"/>
      <c r="D13" s="3"/>
      <c r="E13" s="3"/>
      <c r="F13" s="3"/>
      <c r="G13" s="3"/>
      <c r="H13" s="3"/>
    </row>
    <row r="14" spans="1:8" x14ac:dyDescent="0.3">
      <c r="A14" s="6"/>
      <c r="B14" s="6"/>
      <c r="C14" s="3"/>
      <c r="D14" s="3"/>
      <c r="E14" s="3"/>
      <c r="F14" s="3"/>
      <c r="G14" s="3"/>
      <c r="H14" s="3"/>
    </row>
    <row r="15" spans="1:8" x14ac:dyDescent="0.3">
      <c r="A15" s="6"/>
      <c r="B15" s="6"/>
      <c r="C15" s="3"/>
      <c r="D15" s="3"/>
      <c r="E15" s="3"/>
      <c r="F15" s="3"/>
      <c r="G15" s="3"/>
      <c r="H15" s="3"/>
    </row>
    <row r="16" spans="1:8" x14ac:dyDescent="0.3">
      <c r="A16" s="6"/>
      <c r="B16" s="6"/>
      <c r="C16" s="3"/>
      <c r="D16" s="3"/>
      <c r="E16" s="3"/>
      <c r="F16" s="3"/>
      <c r="G16" s="3"/>
      <c r="H16" s="3"/>
    </row>
    <row r="17" spans="1:8" x14ac:dyDescent="0.3">
      <c r="A17" s="6"/>
      <c r="B17" s="6"/>
      <c r="C17" s="3"/>
      <c r="D17" s="3"/>
      <c r="E17" s="3"/>
      <c r="F17" s="3"/>
      <c r="G17" s="3"/>
      <c r="H17" s="3"/>
    </row>
    <row r="18" spans="1:8" x14ac:dyDescent="0.3">
      <c r="A18" s="6"/>
      <c r="B18" s="6"/>
      <c r="C18" s="3"/>
      <c r="D18" s="3"/>
      <c r="E18" s="3"/>
      <c r="F18" s="3"/>
      <c r="G18" s="3"/>
      <c r="H18" s="3"/>
    </row>
    <row r="19" spans="1:8" x14ac:dyDescent="0.3">
      <c r="A19" s="6"/>
      <c r="B19" s="6"/>
      <c r="C19" s="3"/>
      <c r="D19" s="3"/>
      <c r="E19" s="3"/>
      <c r="F19" s="3"/>
      <c r="G19" s="3"/>
      <c r="H19" s="3"/>
    </row>
    <row r="20" spans="1:8" x14ac:dyDescent="0.3">
      <c r="A20" s="6"/>
      <c r="B20" s="6"/>
      <c r="C20" s="3"/>
      <c r="D20" s="3"/>
      <c r="E20" s="3"/>
      <c r="F20" s="3"/>
      <c r="G20" s="3"/>
      <c r="H20" s="3"/>
    </row>
    <row r="21" spans="1:8" x14ac:dyDescent="0.3">
      <c r="A21" s="6"/>
      <c r="B21" s="6"/>
      <c r="C21" s="3"/>
      <c r="D21" s="3"/>
      <c r="E21" s="3"/>
      <c r="F21" s="3"/>
      <c r="G21" s="3"/>
      <c r="H21" s="3"/>
    </row>
    <row r="22" spans="1:8" x14ac:dyDescent="0.3">
      <c r="A22" s="6"/>
      <c r="B22" s="6"/>
      <c r="C22" s="3"/>
      <c r="D22" s="3"/>
      <c r="E22" s="3"/>
      <c r="F22" s="3"/>
      <c r="G22" s="3"/>
      <c r="H22" s="3"/>
    </row>
    <row r="23" spans="1:8" x14ac:dyDescent="0.3">
      <c r="A23" s="6"/>
      <c r="B23" s="6"/>
      <c r="C23" s="3"/>
      <c r="D23" s="3"/>
      <c r="E23" s="3"/>
      <c r="F23" s="3"/>
      <c r="G23" s="3"/>
      <c r="H23" s="3"/>
    </row>
    <row r="24" spans="1:8" x14ac:dyDescent="0.3">
      <c r="A24" s="6"/>
      <c r="B24" s="6"/>
      <c r="C24" s="3"/>
      <c r="D24" s="3"/>
      <c r="E24" s="3"/>
      <c r="F24" s="3"/>
      <c r="G24" s="3"/>
      <c r="H24" s="3"/>
    </row>
    <row r="25" spans="1:8" x14ac:dyDescent="0.3">
      <c r="A25" s="6"/>
      <c r="B25" s="6"/>
      <c r="C25" s="3"/>
      <c r="D25" s="3"/>
      <c r="E25" s="3"/>
      <c r="F25" s="3"/>
      <c r="G25" s="3"/>
      <c r="H25" s="3"/>
    </row>
    <row r="26" spans="1:8" x14ac:dyDescent="0.3">
      <c r="A26" s="6"/>
      <c r="B26" s="6"/>
      <c r="C26" s="3"/>
      <c r="D26" s="3"/>
      <c r="E26" s="3"/>
      <c r="F26" s="3"/>
      <c r="G26" s="3"/>
      <c r="H26" s="3"/>
    </row>
    <row r="27" spans="1:8" x14ac:dyDescent="0.3">
      <c r="A27" s="6"/>
      <c r="B27" s="6"/>
      <c r="C27" s="3"/>
      <c r="D27" s="3"/>
      <c r="E27" s="3"/>
      <c r="F27" s="3"/>
      <c r="G27" s="3"/>
      <c r="H27" s="3"/>
    </row>
    <row r="28" spans="1:8" x14ac:dyDescent="0.3">
      <c r="A28" s="6"/>
      <c r="B28" s="6"/>
      <c r="C28" s="3"/>
      <c r="D28" s="3"/>
      <c r="E28" s="3"/>
      <c r="F28" s="3"/>
      <c r="G28" s="3"/>
      <c r="H28" s="3"/>
    </row>
    <row r="29" spans="1:8" x14ac:dyDescent="0.3">
      <c r="A29" s="6"/>
      <c r="B29" s="6"/>
      <c r="C29" s="3"/>
      <c r="D29" s="3"/>
      <c r="E29" s="3"/>
      <c r="F29" s="3"/>
      <c r="G29" s="3"/>
      <c r="H29" s="3"/>
    </row>
    <row r="30" spans="1:8" x14ac:dyDescent="0.3">
      <c r="A30" s="6"/>
      <c r="B30" s="6"/>
      <c r="C30" s="3"/>
      <c r="D30" s="3"/>
      <c r="E30" s="3"/>
      <c r="F30" s="3"/>
      <c r="G30" s="3"/>
      <c r="H30" s="3"/>
    </row>
    <row r="31" spans="1:8" x14ac:dyDescent="0.3">
      <c r="A31" s="6"/>
      <c r="B31" s="6"/>
      <c r="C31" s="3"/>
      <c r="D31" s="3"/>
      <c r="E31" s="3"/>
      <c r="F31" s="3"/>
      <c r="G31" s="3"/>
      <c r="H31" s="3"/>
    </row>
    <row r="32" spans="1:8" x14ac:dyDescent="0.3">
      <c r="A32" s="6"/>
      <c r="B32" s="6"/>
      <c r="C32" s="3"/>
      <c r="D32" s="3"/>
      <c r="E32" s="3"/>
      <c r="F32" s="3"/>
      <c r="G32" s="3"/>
      <c r="H32" s="3"/>
    </row>
    <row r="33" spans="1:8" x14ac:dyDescent="0.3">
      <c r="A33" s="6"/>
      <c r="B33" s="6"/>
      <c r="C33" s="3"/>
      <c r="D33" s="3"/>
      <c r="E33" s="3"/>
      <c r="F33" s="3"/>
      <c r="G33" s="3"/>
      <c r="H33" s="3"/>
    </row>
    <row r="34" spans="1:8" x14ac:dyDescent="0.3">
      <c r="A34" s="6"/>
      <c r="B34" s="6"/>
      <c r="C34" s="3"/>
      <c r="D34" s="3"/>
      <c r="E34" s="3"/>
      <c r="F34" s="3"/>
      <c r="G34" s="3"/>
      <c r="H34" s="3"/>
    </row>
    <row r="35" spans="1:8" x14ac:dyDescent="0.3">
      <c r="A35" s="6"/>
      <c r="B35" s="6"/>
      <c r="C35" s="3"/>
      <c r="D35" s="3"/>
      <c r="E35" s="3"/>
      <c r="F35" s="3"/>
      <c r="G35" s="3"/>
      <c r="H35" s="3"/>
    </row>
    <row r="36" spans="1:8" x14ac:dyDescent="0.3">
      <c r="A36" s="6"/>
      <c r="B36" s="6"/>
      <c r="C36" s="3"/>
      <c r="D36" s="3"/>
      <c r="E36" s="3"/>
      <c r="F36" s="3"/>
      <c r="G36" s="3"/>
      <c r="H36" s="3"/>
    </row>
    <row r="37" spans="1:8" x14ac:dyDescent="0.3">
      <c r="A37" s="6"/>
      <c r="B37" s="6"/>
      <c r="C37" s="3"/>
      <c r="D37" s="3"/>
      <c r="E37" s="3"/>
      <c r="F37" s="3"/>
      <c r="G37" s="3"/>
      <c r="H37" s="3"/>
    </row>
    <row r="38" spans="1:8" x14ac:dyDescent="0.3">
      <c r="A38" s="6"/>
      <c r="B38" s="6"/>
      <c r="C38" s="3"/>
      <c r="D38" s="3"/>
      <c r="E38" s="3"/>
      <c r="F38" s="3"/>
      <c r="G38" s="3"/>
      <c r="H38" s="3"/>
    </row>
    <row r="39" spans="1:8" x14ac:dyDescent="0.3">
      <c r="A39" s="6"/>
      <c r="B39" s="6"/>
      <c r="C39" s="3"/>
      <c r="D39" s="3"/>
      <c r="E39" s="3"/>
      <c r="F39" s="3"/>
      <c r="G39" s="3"/>
      <c r="H39" s="3"/>
    </row>
    <row r="40" spans="1:8" x14ac:dyDescent="0.3">
      <c r="A40" s="6"/>
      <c r="B40" s="6"/>
      <c r="C40" s="3"/>
      <c r="D40" s="3"/>
      <c r="E40" s="3"/>
      <c r="F40" s="3"/>
      <c r="G40" s="3"/>
      <c r="H40" s="3"/>
    </row>
    <row r="41" spans="1:8" x14ac:dyDescent="0.3">
      <c r="A41" s="6"/>
      <c r="B41" s="6"/>
      <c r="C41" s="3"/>
      <c r="D41" s="3"/>
      <c r="E41" s="3"/>
      <c r="F41" s="3"/>
      <c r="G41" s="3"/>
      <c r="H41" s="3"/>
    </row>
    <row r="42" spans="1:8" x14ac:dyDescent="0.3">
      <c r="A42" s="6"/>
      <c r="B42" s="6"/>
      <c r="C42" s="3"/>
      <c r="D42" s="3"/>
      <c r="E42" s="3"/>
      <c r="F42" s="3"/>
      <c r="G42" s="3"/>
      <c r="H42" s="3"/>
    </row>
    <row r="43" spans="1:8" x14ac:dyDescent="0.3">
      <c r="A43" s="6"/>
      <c r="B43" s="6"/>
      <c r="C43" s="3"/>
      <c r="D43" s="3"/>
      <c r="E43" s="3"/>
      <c r="F43" s="3"/>
      <c r="G43" s="3"/>
      <c r="H43" s="3"/>
    </row>
    <row r="44" spans="1:8" x14ac:dyDescent="0.3">
      <c r="A44" s="6"/>
      <c r="B44" s="6"/>
      <c r="C44" s="3"/>
      <c r="D44" s="3"/>
      <c r="E44" s="3"/>
      <c r="F44" s="3"/>
      <c r="G44" s="3"/>
      <c r="H44" s="3"/>
    </row>
    <row r="45" spans="1:8" x14ac:dyDescent="0.3">
      <c r="A45" s="6"/>
      <c r="B45" s="6"/>
      <c r="C45" s="3"/>
      <c r="D45" s="3"/>
      <c r="E45" s="3"/>
      <c r="F45" s="3"/>
      <c r="G45" s="3"/>
      <c r="H45" s="3"/>
    </row>
    <row r="46" spans="1:8" x14ac:dyDescent="0.3">
      <c r="A46" s="6"/>
      <c r="B46" s="6"/>
      <c r="C46" s="3"/>
      <c r="D46" s="3"/>
      <c r="E46" s="3"/>
      <c r="F46" s="3"/>
      <c r="G46" s="3"/>
      <c r="H46" s="3"/>
    </row>
    <row r="47" spans="1:8" x14ac:dyDescent="0.3">
      <c r="A47" s="6"/>
      <c r="B47" s="6"/>
      <c r="C47" s="3"/>
      <c r="D47" s="3"/>
      <c r="E47" s="3"/>
      <c r="F47" s="3"/>
      <c r="G47" s="3"/>
      <c r="H47" s="3"/>
    </row>
    <row r="48" spans="1:8" x14ac:dyDescent="0.3">
      <c r="A48" s="6"/>
      <c r="B48" s="6"/>
      <c r="C48" s="3"/>
      <c r="D48" s="3"/>
      <c r="E48" s="3"/>
      <c r="F48" s="3"/>
      <c r="G48" s="3"/>
      <c r="H48" s="3"/>
    </row>
    <row r="49" spans="1:8" x14ac:dyDescent="0.3">
      <c r="A49" s="6"/>
      <c r="B49" s="6"/>
      <c r="C49" s="3"/>
      <c r="D49" s="3"/>
      <c r="E49" s="3"/>
      <c r="F49" s="3"/>
      <c r="G49" s="3"/>
      <c r="H49" s="3"/>
    </row>
    <row r="50" spans="1:8" x14ac:dyDescent="0.3">
      <c r="A50" s="6"/>
      <c r="B50" s="6"/>
      <c r="C50" s="3"/>
      <c r="D50" s="3"/>
      <c r="E50" s="3"/>
      <c r="F50" s="3"/>
      <c r="G50" s="3"/>
      <c r="H50" s="3"/>
    </row>
    <row r="51" spans="1:8" x14ac:dyDescent="0.3">
      <c r="A51" s="6"/>
      <c r="B51" s="6"/>
      <c r="C51" s="3"/>
      <c r="D51" s="3"/>
      <c r="E51" s="3"/>
      <c r="F51" s="3"/>
      <c r="G51" s="3"/>
      <c r="H51" s="3"/>
    </row>
    <row r="52" spans="1:8" x14ac:dyDescent="0.3">
      <c r="A52" s="6"/>
      <c r="B52" s="6"/>
      <c r="C52" s="3"/>
      <c r="D52" s="3"/>
      <c r="E52" s="3"/>
      <c r="F52" s="3"/>
      <c r="G52" s="3"/>
      <c r="H52" s="3"/>
    </row>
    <row r="53" spans="1:8" x14ac:dyDescent="0.3">
      <c r="A53" s="6"/>
      <c r="B53" s="6"/>
      <c r="C53" s="3"/>
      <c r="D53" s="3"/>
      <c r="E53" s="3"/>
      <c r="F53" s="3"/>
      <c r="G53" s="3"/>
      <c r="H53" s="3"/>
    </row>
  </sheetData>
  <autoFilter ref="A3:H53" xr:uid="{00000000-0009-0000-0000-000004000000}"/>
  <mergeCells count="1">
    <mergeCell ref="A1:H1"/>
  </mergeCells>
  <dataValidations count="1">
    <dataValidation type="list" allowBlank="1" sqref="H4:H53" xr:uid="{00000000-0002-0000-0400-000001000000}">
      <formula1>"Yes,No"</formula1>
    </dataValidation>
  </dataValidations>
  <pageMargins left="0.25" right="0.25" top="0.5" bottom="0.5" header="0.5" footer="0.5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866A6ABF-D8C5-4B5A-965E-05788B7B2825}">
          <x14:formula1>
            <xm:f>'Shift Master'!$A$12:$A$20</xm:f>
          </x14:formula1>
          <xm:sqref>E4:E53</xm:sqref>
        </x14:dataValidation>
        <x14:dataValidation type="list" allowBlank="1" showInputMessage="1" showErrorMessage="1" xr:uid="{C774BEDB-DDA9-437C-A292-5FCD8D6FCA75}">
          <x14:formula1>
            <xm:f>'Employee Master'!$B$4:$B$33</xm:f>
          </x14:formula1>
          <xm:sqref>D4:D53</xm:sqref>
        </x14:dataValidation>
        <x14:dataValidation type="list" allowBlank="1" showInputMessage="1" showErrorMessage="1" xr:uid="{73487495-A40F-44D9-A4BA-DFD11E495476}">
          <x14:formula1>
            <xm:f>'Employee Master'!$A$4:$A$33</xm:f>
          </x14:formula1>
          <xm:sqref>C4:C53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showGridLines="0" tabSelected="1" zoomScale="90"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16" customWidth="1"/>
    <col min="2" max="2" width="24" customWidth="1"/>
    <col min="3" max="3" width="20" customWidth="1"/>
    <col min="4" max="4" width="16" customWidth="1"/>
    <col min="5" max="6" width="12" customWidth="1"/>
    <col min="7" max="7" width="13.5546875" bestFit="1" customWidth="1"/>
    <col min="8" max="8" width="12.6640625" bestFit="1" customWidth="1"/>
    <col min="9" max="9" width="12.77734375" bestFit="1" customWidth="1"/>
    <col min="10" max="10" width="17.88671875" bestFit="1" customWidth="1"/>
    <col min="11" max="11" width="12" customWidth="1"/>
    <col min="12" max="12" width="17.44140625" bestFit="1" customWidth="1"/>
  </cols>
  <sheetData>
    <row r="1" spans="1:14" ht="30" customHeight="1" x14ac:dyDescent="0.45">
      <c r="A1" s="13" t="s">
        <v>54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3" spans="1:14" x14ac:dyDescent="0.3">
      <c r="A3" s="2" t="s">
        <v>16</v>
      </c>
      <c r="B3" s="2" t="s">
        <v>17</v>
      </c>
      <c r="C3" s="2" t="s">
        <v>18</v>
      </c>
      <c r="D3" s="2" t="s">
        <v>55</v>
      </c>
      <c r="E3" s="2" t="s">
        <v>38</v>
      </c>
      <c r="F3" s="2" t="s">
        <v>88</v>
      </c>
      <c r="G3" s="2" t="s">
        <v>89</v>
      </c>
      <c r="H3" s="2" t="s">
        <v>90</v>
      </c>
      <c r="I3" s="2" t="s">
        <v>84</v>
      </c>
      <c r="J3" s="2" t="s">
        <v>59</v>
      </c>
      <c r="K3" s="2" t="s">
        <v>43</v>
      </c>
      <c r="L3" s="2" t="s">
        <v>99</v>
      </c>
    </row>
    <row r="4" spans="1:14" x14ac:dyDescent="0.3">
      <c r="A4" s="3">
        <f>'Employee Master'!A4</f>
        <v>1</v>
      </c>
      <c r="B4" s="3" t="str">
        <f>'Employee Master'!B4</f>
        <v>A</v>
      </c>
      <c r="C4" s="3">
        <f>'Employee Master'!C4</f>
        <v>1001</v>
      </c>
      <c r="D4" s="3">
        <f>COUNT('Monthly Roster'!E$6:AI$6)-COUNTIF('Monthly Roster'!E7:AI7,"OFF")-COUNTIF('Monthly Roster'!E7:AI7,"H")</f>
        <v>31</v>
      </c>
      <c r="E4" s="3">
        <f>COUNTIF('Monthly Roster'!E7:AI7,"OFF")</f>
        <v>0</v>
      </c>
      <c r="F4" s="3">
        <f>COUNTIF('Monthly Roster'!E7:AI7,"CL") + COUNTIF('Monthly Roster'!E7:AI7,"CL/2") *0.5</f>
        <v>0</v>
      </c>
      <c r="G4" s="3">
        <f>COUNTIF('Monthly Roster'!E7:AI7,"ML") + COUNTIF('Monthly Roster'!E7:AI7,"ML/2") *0.5</f>
        <v>0</v>
      </c>
      <c r="H4" s="3">
        <f>COUNTIF('Monthly Roster'!E7:AI7,"EL") + COUNTIF('Monthly Roster'!E7:AI7,"EL/2") *0.5</f>
        <v>0</v>
      </c>
      <c r="I4" s="3">
        <f>COUNTIF('Monthly Roster'!E7:AI7,"UL") + COUNTIF('Monthly Roster'!E7:AI7,"UL/2") * 0.5</f>
        <v>0</v>
      </c>
      <c r="J4" s="3">
        <f>COUNTIF('Monthly Roster'!E7:AI7,"CO")</f>
        <v>0</v>
      </c>
      <c r="K4" s="3">
        <f>COUNTIF('Monthly Roster'!E7:AI7,"H")</f>
        <v>0</v>
      </c>
      <c r="L4" s="3">
        <f>D4-(F4+G4+H4+I4+J4)</f>
        <v>31</v>
      </c>
    </row>
    <row r="5" spans="1:14" x14ac:dyDescent="0.3">
      <c r="A5" s="3">
        <f>'Employee Master'!A5</f>
        <v>2</v>
      </c>
      <c r="B5" s="3" t="str">
        <f>'Employee Master'!B5</f>
        <v>B</v>
      </c>
      <c r="C5" s="3">
        <f>'Employee Master'!C5</f>
        <v>1002</v>
      </c>
      <c r="D5" s="3">
        <f>COUNT('Monthly Roster'!E$6:AI$6)-COUNTIF('Monthly Roster'!E8:AI8,"OFF")-COUNTIF('Monthly Roster'!E8:AI8,"H")</f>
        <v>31</v>
      </c>
      <c r="E5" s="3">
        <f>COUNTIF('Monthly Roster'!E8:AI8,"OFF")</f>
        <v>0</v>
      </c>
      <c r="F5" s="3">
        <f>COUNTIF('Monthly Roster'!E8:AI8,"CL") + COUNTIF('Monthly Roster'!E8:AI8,"CL/2") *0.5</f>
        <v>0</v>
      </c>
      <c r="G5" s="3">
        <f>COUNTIF('Monthly Roster'!E8:AI8,"ML") + COUNTIF('Monthly Roster'!E8:AI8,"ML/2") *0.5</f>
        <v>0</v>
      </c>
      <c r="H5" s="3">
        <f>COUNTIF('Monthly Roster'!E8:AI8,"EL") + COUNTIF('Monthly Roster'!E8:AI8,"EL/2") *0.5</f>
        <v>0</v>
      </c>
      <c r="I5" s="3">
        <f>COUNTIF('Monthly Roster'!E8:AI8,"UL") + COUNTIF('Monthly Roster'!E8:AI8,"UL/2") * 0.5</f>
        <v>0</v>
      </c>
      <c r="J5" s="3">
        <f>COUNTIF('Monthly Roster'!E8:AI8,"CO")</f>
        <v>0</v>
      </c>
      <c r="K5" s="3">
        <f>COUNTIF('Monthly Roster'!E8:AI8,"H")</f>
        <v>0</v>
      </c>
      <c r="L5" s="3">
        <f t="shared" ref="L5:L33" si="0">D5-(F5+G5+H5+I5+J5)</f>
        <v>31</v>
      </c>
    </row>
    <row r="6" spans="1:14" x14ac:dyDescent="0.3">
      <c r="A6" s="3">
        <f>'Employee Master'!A6</f>
        <v>3</v>
      </c>
      <c r="B6" s="3" t="str">
        <f>'Employee Master'!B6</f>
        <v>C</v>
      </c>
      <c r="C6" s="3">
        <f>'Employee Master'!C6</f>
        <v>1003</v>
      </c>
      <c r="D6" s="3">
        <f>COUNT('Monthly Roster'!E$6:AI$6)-COUNTIF('Monthly Roster'!E9:AI9,"OFF")-COUNTIF('Monthly Roster'!E9:AI9,"H")</f>
        <v>31</v>
      </c>
      <c r="E6" s="3">
        <f>COUNTIF('Monthly Roster'!E9:AI9,"OFF")</f>
        <v>0</v>
      </c>
      <c r="F6" s="3">
        <f>COUNTIF('Monthly Roster'!E9:AI9,"CL") + COUNTIF('Monthly Roster'!E9:AI9,"CL/2") *0.5</f>
        <v>0</v>
      </c>
      <c r="G6" s="3">
        <f>COUNTIF('Monthly Roster'!E9:AI9,"ML") + COUNTIF('Monthly Roster'!E9:AI9,"ML/2") *0.5</f>
        <v>0</v>
      </c>
      <c r="H6" s="3">
        <f>COUNTIF('Monthly Roster'!E9:AI9,"EL") + COUNTIF('Monthly Roster'!E9:AI9,"EL/2") *0.5</f>
        <v>0</v>
      </c>
      <c r="I6" s="3">
        <f>COUNTIF('Monthly Roster'!E9:AI9,"UL") + COUNTIF('Monthly Roster'!E9:AI9,"UL/2") * 0.5</f>
        <v>0</v>
      </c>
      <c r="J6" s="3">
        <f>COUNTIF('Monthly Roster'!E9:AI9,"CO")</f>
        <v>0</v>
      </c>
      <c r="K6" s="3">
        <f>COUNTIF('Monthly Roster'!E9:AI9,"H")</f>
        <v>0</v>
      </c>
      <c r="L6" s="3">
        <f t="shared" si="0"/>
        <v>31</v>
      </c>
    </row>
    <row r="7" spans="1:14" x14ac:dyDescent="0.3">
      <c r="A7" s="3">
        <f>'Employee Master'!A7</f>
        <v>4</v>
      </c>
      <c r="B7" s="3" t="str">
        <f>'Employee Master'!B7</f>
        <v>D</v>
      </c>
      <c r="C7" s="3">
        <f>'Employee Master'!C7</f>
        <v>1004</v>
      </c>
      <c r="D7" s="3">
        <f>COUNT('Monthly Roster'!E$6:AI$6)-COUNTIF('Monthly Roster'!E10:AI10,"OFF")-COUNTIF('Monthly Roster'!E10:AI10,"H")</f>
        <v>31</v>
      </c>
      <c r="E7" s="3">
        <f>COUNTIF('Monthly Roster'!E10:AI10,"OFF")</f>
        <v>0</v>
      </c>
      <c r="F7" s="3">
        <f>COUNTIF('Monthly Roster'!E10:AI10,"CL") + COUNTIF('Monthly Roster'!E10:AI10,"CL/2") *0.5</f>
        <v>0</v>
      </c>
      <c r="G7" s="3">
        <f>COUNTIF('Monthly Roster'!E10:AI10,"ML") + COUNTIF('Monthly Roster'!E10:AI10,"ML/2") *0.5</f>
        <v>0</v>
      </c>
      <c r="H7" s="3">
        <f>COUNTIF('Monthly Roster'!E10:AI10,"EL") + COUNTIF('Monthly Roster'!E10:AI10,"EL/2") *0.5</f>
        <v>0</v>
      </c>
      <c r="I7" s="3">
        <f>COUNTIF('Monthly Roster'!E10:AI10,"UL") + COUNTIF('Monthly Roster'!E10:AI10,"UL/2") * 0.5</f>
        <v>0</v>
      </c>
      <c r="J7" s="3">
        <f>COUNTIF('Monthly Roster'!E10:AI10,"CO")</f>
        <v>0</v>
      </c>
      <c r="K7" s="3">
        <f>COUNTIF('Monthly Roster'!E10:AI10,"H")</f>
        <v>0</v>
      </c>
      <c r="L7" s="3">
        <f t="shared" si="0"/>
        <v>31</v>
      </c>
    </row>
    <row r="8" spans="1:14" x14ac:dyDescent="0.3">
      <c r="A8" s="3">
        <f>'Employee Master'!A8</f>
        <v>5</v>
      </c>
      <c r="B8" s="3" t="str">
        <f>'Employee Master'!B8</f>
        <v>E</v>
      </c>
      <c r="C8" s="3">
        <f>'Employee Master'!C8</f>
        <v>1001</v>
      </c>
      <c r="D8" s="3">
        <f>COUNT('Monthly Roster'!E$6:AI$6)-COUNTIF('Monthly Roster'!E11:AI11,"OFF")-COUNTIF('Monthly Roster'!E11:AI11,"H")</f>
        <v>31</v>
      </c>
      <c r="E8" s="3">
        <f>COUNTIF('Monthly Roster'!E11:AI11,"OFF")</f>
        <v>0</v>
      </c>
      <c r="F8" s="3">
        <f>COUNTIF('Monthly Roster'!E11:AI11,"CL") + COUNTIF('Monthly Roster'!E11:AI11,"CL/2") *0.5</f>
        <v>0</v>
      </c>
      <c r="G8" s="3">
        <f>COUNTIF('Monthly Roster'!E11:AI11,"ML") + COUNTIF('Monthly Roster'!E11:AI11,"ML/2") *0.5</f>
        <v>0</v>
      </c>
      <c r="H8" s="3">
        <f>COUNTIF('Monthly Roster'!E11:AI11,"EL") + COUNTIF('Monthly Roster'!E11:AI11,"EL/2") *0.5</f>
        <v>0</v>
      </c>
      <c r="I8" s="3">
        <f>COUNTIF('Monthly Roster'!E11:AI11,"UL") + COUNTIF('Monthly Roster'!E11:AI11,"UL/2") * 0.5</f>
        <v>0</v>
      </c>
      <c r="J8" s="3">
        <f>COUNTIF('Monthly Roster'!E11:AI11,"CO")</f>
        <v>0</v>
      </c>
      <c r="K8" s="3">
        <f>COUNTIF('Monthly Roster'!E11:AI11,"H")</f>
        <v>0</v>
      </c>
      <c r="L8" s="3">
        <f t="shared" si="0"/>
        <v>31</v>
      </c>
    </row>
    <row r="9" spans="1:14" x14ac:dyDescent="0.3">
      <c r="A9" s="3">
        <f>'Employee Master'!A9</f>
        <v>6</v>
      </c>
      <c r="B9" s="3" t="str">
        <f>'Employee Master'!B9</f>
        <v>F</v>
      </c>
      <c r="C9" s="3">
        <f>'Employee Master'!C9</f>
        <v>1002</v>
      </c>
      <c r="D9" s="3">
        <f>COUNT('Monthly Roster'!E$6:AI$6)-COUNTIF('Monthly Roster'!E12:AI12,"OFF")-COUNTIF('Monthly Roster'!E12:AI12,"H")</f>
        <v>31</v>
      </c>
      <c r="E9" s="3">
        <f>COUNTIF('Monthly Roster'!E12:AI12,"OFF")</f>
        <v>0</v>
      </c>
      <c r="F9" s="3">
        <f>COUNTIF('Monthly Roster'!E12:AI12,"CL") + COUNTIF('Monthly Roster'!E12:AI12,"CL/2") *0.5</f>
        <v>0</v>
      </c>
      <c r="G9" s="3">
        <f>COUNTIF('Monthly Roster'!E12:AI12,"ML") + COUNTIF('Monthly Roster'!E12:AI12,"ML/2") *0.5</f>
        <v>0</v>
      </c>
      <c r="H9" s="3">
        <f>COUNTIF('Monthly Roster'!E12:AI12,"EL") + COUNTIF('Monthly Roster'!E12:AI12,"EL/2") *0.5</f>
        <v>0</v>
      </c>
      <c r="I9" s="3">
        <f>COUNTIF('Monthly Roster'!E12:AI12,"UL") + COUNTIF('Monthly Roster'!E12:AI12,"UL/2") * 0.5</f>
        <v>0</v>
      </c>
      <c r="J9" s="3">
        <f>COUNTIF('Monthly Roster'!E12:AI12,"CO")</f>
        <v>0</v>
      </c>
      <c r="K9" s="3">
        <f>COUNTIF('Monthly Roster'!E12:AI12,"H")</f>
        <v>0</v>
      </c>
      <c r="L9" s="3">
        <f t="shared" si="0"/>
        <v>31</v>
      </c>
    </row>
    <row r="10" spans="1:14" x14ac:dyDescent="0.3">
      <c r="A10" s="3">
        <f>'Employee Master'!A10</f>
        <v>7</v>
      </c>
      <c r="B10" s="3" t="str">
        <f>'Employee Master'!B10</f>
        <v>G</v>
      </c>
      <c r="C10" s="3">
        <f>'Employee Master'!C10</f>
        <v>1003</v>
      </c>
      <c r="D10" s="3">
        <f>COUNT('Monthly Roster'!E$6:AI$6)-COUNTIF('Monthly Roster'!E13:AI13,"OFF")-COUNTIF('Monthly Roster'!E13:AI13,"H")</f>
        <v>31</v>
      </c>
      <c r="E10" s="3">
        <f>COUNTIF('Monthly Roster'!E13:AI13,"OFF")</f>
        <v>0</v>
      </c>
      <c r="F10" s="3">
        <f>COUNTIF('Monthly Roster'!E13:AI13,"CL") + COUNTIF('Monthly Roster'!E13:AI13,"CL/2") *0.5</f>
        <v>0</v>
      </c>
      <c r="G10" s="3">
        <f>COUNTIF('Monthly Roster'!E13:AI13,"ML") + COUNTIF('Monthly Roster'!E13:AI13,"ML/2") *0.5</f>
        <v>0</v>
      </c>
      <c r="H10" s="3">
        <f>COUNTIF('Monthly Roster'!E13:AI13,"EL") + COUNTIF('Monthly Roster'!E13:AI13,"EL/2") *0.5</f>
        <v>0</v>
      </c>
      <c r="I10" s="3">
        <f>COUNTIF('Monthly Roster'!E13:AI13,"UL") + COUNTIF('Monthly Roster'!E13:AI13,"UL/2") * 0.5</f>
        <v>0</v>
      </c>
      <c r="J10" s="3">
        <f>COUNTIF('Monthly Roster'!E13:AI13,"CO")</f>
        <v>0</v>
      </c>
      <c r="K10" s="3">
        <f>COUNTIF('Monthly Roster'!E13:AI13,"H")</f>
        <v>0</v>
      </c>
      <c r="L10" s="3">
        <f t="shared" si="0"/>
        <v>31</v>
      </c>
    </row>
    <row r="11" spans="1:14" x14ac:dyDescent="0.3">
      <c r="A11" s="3">
        <f>'Employee Master'!A11</f>
        <v>8</v>
      </c>
      <c r="B11" s="3" t="str">
        <f>'Employee Master'!B11</f>
        <v>H</v>
      </c>
      <c r="C11" s="3">
        <f>'Employee Master'!C11</f>
        <v>1004</v>
      </c>
      <c r="D11" s="3">
        <f>COUNT('Monthly Roster'!E$6:AI$6)-COUNTIF('Monthly Roster'!E14:AI14,"OFF")-COUNTIF('Monthly Roster'!E14:AI14,"H")</f>
        <v>31</v>
      </c>
      <c r="E11" s="3">
        <f>COUNTIF('Monthly Roster'!E14:AI14,"OFF")</f>
        <v>0</v>
      </c>
      <c r="F11" s="3">
        <f>COUNTIF('Monthly Roster'!E14:AI14,"CL") + COUNTIF('Monthly Roster'!E14:AI14,"CL/2") *0.5</f>
        <v>0</v>
      </c>
      <c r="G11" s="3">
        <f>COUNTIF('Monthly Roster'!E14:AI14,"ML") + COUNTIF('Monthly Roster'!E14:AI14,"ML/2") *0.5</f>
        <v>0</v>
      </c>
      <c r="H11" s="3">
        <f>COUNTIF('Monthly Roster'!E14:AI14,"EL") + COUNTIF('Monthly Roster'!E14:AI14,"EL/2") *0.5</f>
        <v>0</v>
      </c>
      <c r="I11" s="3">
        <f>COUNTIF('Monthly Roster'!E14:AI14,"UL") + COUNTIF('Monthly Roster'!E14:AI14,"UL/2") * 0.5</f>
        <v>0</v>
      </c>
      <c r="J11" s="3">
        <f>COUNTIF('Monthly Roster'!E14:AI14,"CO")</f>
        <v>0</v>
      </c>
      <c r="K11" s="3">
        <f>COUNTIF('Monthly Roster'!E14:AI14,"H")</f>
        <v>0</v>
      </c>
      <c r="L11" s="3">
        <f t="shared" si="0"/>
        <v>31</v>
      </c>
    </row>
    <row r="12" spans="1:14" x14ac:dyDescent="0.3">
      <c r="A12" s="3">
        <f>'Employee Master'!A12</f>
        <v>9</v>
      </c>
      <c r="B12" s="3" t="str">
        <f>'Employee Master'!B12</f>
        <v>I</v>
      </c>
      <c r="C12" s="3">
        <f>'Employee Master'!C12</f>
        <v>1001</v>
      </c>
      <c r="D12" s="3">
        <f>COUNT('Monthly Roster'!E$6:AI$6)-COUNTIF('Monthly Roster'!E15:AI15,"OFF")-COUNTIF('Monthly Roster'!E15:AI15,"H")</f>
        <v>31</v>
      </c>
      <c r="E12" s="3">
        <f>COUNTIF('Monthly Roster'!E15:AI15,"OFF")</f>
        <v>0</v>
      </c>
      <c r="F12" s="3">
        <f>COUNTIF('Monthly Roster'!E15:AI15,"CL") + COUNTIF('Monthly Roster'!E15:AI15,"CL/2") *0.5</f>
        <v>0</v>
      </c>
      <c r="G12" s="3">
        <f>COUNTIF('Monthly Roster'!E15:AI15,"ML") + COUNTIF('Monthly Roster'!E15:AI15,"ML/2") *0.5</f>
        <v>0</v>
      </c>
      <c r="H12" s="3">
        <f>COUNTIF('Monthly Roster'!E15:AI15,"EL") + COUNTIF('Monthly Roster'!E15:AI15,"EL/2") *0.5</f>
        <v>0</v>
      </c>
      <c r="I12" s="3">
        <f>COUNTIF('Monthly Roster'!E15:AI15,"UL") + COUNTIF('Monthly Roster'!E15:AI15,"UL/2") * 0.5</f>
        <v>0</v>
      </c>
      <c r="J12" s="3">
        <f>COUNTIF('Monthly Roster'!E15:AI15,"CO")</f>
        <v>0</v>
      </c>
      <c r="K12" s="3">
        <f>COUNTIF('Monthly Roster'!E15:AI15,"H")</f>
        <v>0</v>
      </c>
      <c r="L12" s="3">
        <f t="shared" si="0"/>
        <v>31</v>
      </c>
    </row>
    <row r="13" spans="1:14" x14ac:dyDescent="0.3">
      <c r="A13" s="3">
        <f>'Employee Master'!A13</f>
        <v>10</v>
      </c>
      <c r="B13" s="3" t="str">
        <f>'Employee Master'!B13</f>
        <v>J</v>
      </c>
      <c r="C13" s="3">
        <f>'Employee Master'!C13</f>
        <v>1002</v>
      </c>
      <c r="D13" s="3">
        <f>COUNT('Monthly Roster'!E$6:AI$6)-COUNTIF('Monthly Roster'!E16:AI16,"OFF")-COUNTIF('Monthly Roster'!E16:AI16,"H")</f>
        <v>31</v>
      </c>
      <c r="E13" s="3">
        <f>COUNTIF('Monthly Roster'!E16:AI16,"OFF")</f>
        <v>0</v>
      </c>
      <c r="F13" s="3">
        <f>COUNTIF('Monthly Roster'!E16:AI16,"CL") + COUNTIF('Monthly Roster'!E16:AI16,"CL/2") *0.5</f>
        <v>0</v>
      </c>
      <c r="G13" s="3">
        <f>COUNTIF('Monthly Roster'!E16:AI16,"ML") + COUNTIF('Monthly Roster'!E16:AI16,"ML/2") *0.5</f>
        <v>0</v>
      </c>
      <c r="H13" s="3">
        <f>COUNTIF('Monthly Roster'!E16:AI16,"EL") + COUNTIF('Monthly Roster'!E16:AI16,"EL/2") *0.5</f>
        <v>0</v>
      </c>
      <c r="I13" s="3">
        <f>COUNTIF('Monthly Roster'!E16:AI16,"UL") + COUNTIF('Monthly Roster'!E16:AI16,"UL/2") * 0.5</f>
        <v>0</v>
      </c>
      <c r="J13" s="3">
        <f>COUNTIF('Monthly Roster'!E16:AI16,"CO")</f>
        <v>0</v>
      </c>
      <c r="K13" s="3">
        <f>COUNTIF('Monthly Roster'!E16:AI16,"H")</f>
        <v>0</v>
      </c>
      <c r="L13" s="3">
        <f t="shared" si="0"/>
        <v>31</v>
      </c>
    </row>
    <row r="14" spans="1:14" x14ac:dyDescent="0.3">
      <c r="A14" s="3">
        <f>'Employee Master'!A14</f>
        <v>11</v>
      </c>
      <c r="B14" s="3" t="str">
        <f>'Employee Master'!B14</f>
        <v>K</v>
      </c>
      <c r="C14" s="3">
        <f>'Employee Master'!C14</f>
        <v>1003</v>
      </c>
      <c r="D14" s="3">
        <f>COUNT('Monthly Roster'!E$6:AI$6)-COUNTIF('Monthly Roster'!E17:AI17,"OFF")-COUNTIF('Monthly Roster'!E17:AI17,"H")</f>
        <v>31</v>
      </c>
      <c r="E14" s="3">
        <f>COUNTIF('Monthly Roster'!E17:AI17,"OFF")</f>
        <v>0</v>
      </c>
      <c r="F14" s="3">
        <f>COUNTIF('Monthly Roster'!E17:AI17,"CL") + COUNTIF('Monthly Roster'!E17:AI17,"CL/2") *0.5</f>
        <v>0</v>
      </c>
      <c r="G14" s="3">
        <f>COUNTIF('Monthly Roster'!E17:AI17,"ML") + COUNTIF('Monthly Roster'!E17:AI17,"ML/2") *0.5</f>
        <v>0</v>
      </c>
      <c r="H14" s="3">
        <f>COUNTIF('Monthly Roster'!E17:AI17,"EL") + COUNTIF('Monthly Roster'!E17:AI17,"EL/2") *0.5</f>
        <v>0</v>
      </c>
      <c r="I14" s="3">
        <f>COUNTIF('Monthly Roster'!E17:AI17,"UL") + COUNTIF('Monthly Roster'!E17:AI17,"UL/2") * 0.5</f>
        <v>0</v>
      </c>
      <c r="J14" s="3">
        <f>COUNTIF('Monthly Roster'!E17:AI17,"CO")</f>
        <v>0</v>
      </c>
      <c r="K14" s="3">
        <f>COUNTIF('Monthly Roster'!E17:AI17,"H")</f>
        <v>0</v>
      </c>
      <c r="L14" s="3">
        <f t="shared" si="0"/>
        <v>31</v>
      </c>
    </row>
    <row r="15" spans="1:14" x14ac:dyDescent="0.3">
      <c r="A15" s="3">
        <f>'Employee Master'!A15</f>
        <v>12</v>
      </c>
      <c r="B15" s="3" t="str">
        <f>'Employee Master'!B15</f>
        <v>L</v>
      </c>
      <c r="C15" s="3">
        <f>'Employee Master'!C15</f>
        <v>1004</v>
      </c>
      <c r="D15" s="3">
        <f>COUNT('Monthly Roster'!E$6:AI$6)-COUNTIF('Monthly Roster'!E18:AI18,"OFF")-COUNTIF('Monthly Roster'!E18:AI18,"H")</f>
        <v>31</v>
      </c>
      <c r="E15" s="3">
        <f>COUNTIF('Monthly Roster'!E18:AI18,"OFF")</f>
        <v>0</v>
      </c>
      <c r="F15" s="3">
        <f>COUNTIF('Monthly Roster'!E18:AI18,"CL") + COUNTIF('Monthly Roster'!E18:AI18,"CL/2") *0.5</f>
        <v>0</v>
      </c>
      <c r="G15" s="3">
        <f>COUNTIF('Monthly Roster'!E18:AI18,"ML") + COUNTIF('Monthly Roster'!E18:AI18,"ML/2") *0.5</f>
        <v>0</v>
      </c>
      <c r="H15" s="3">
        <f>COUNTIF('Monthly Roster'!E18:AI18,"EL") + COUNTIF('Monthly Roster'!E18:AI18,"EL/2") *0.5</f>
        <v>0</v>
      </c>
      <c r="I15" s="3">
        <f>COUNTIF('Monthly Roster'!E18:AI18,"UL") + COUNTIF('Monthly Roster'!E18:AI18,"UL/2") * 0.5</f>
        <v>0</v>
      </c>
      <c r="J15" s="3">
        <f>COUNTIF('Monthly Roster'!E18:AI18,"CO")</f>
        <v>0</v>
      </c>
      <c r="K15" s="3">
        <f>COUNTIF('Monthly Roster'!E18:AI18,"H")</f>
        <v>0</v>
      </c>
      <c r="L15" s="3">
        <f t="shared" si="0"/>
        <v>31</v>
      </c>
    </row>
    <row r="16" spans="1:14" x14ac:dyDescent="0.3">
      <c r="A16" s="3">
        <f>'Employee Master'!A16</f>
        <v>13</v>
      </c>
      <c r="B16" s="3" t="str">
        <f>'Employee Master'!B16</f>
        <v>M</v>
      </c>
      <c r="C16" s="3">
        <f>'Employee Master'!C16</f>
        <v>1001</v>
      </c>
      <c r="D16" s="3">
        <f>COUNT('Monthly Roster'!E$6:AI$6)-COUNTIF('Monthly Roster'!E19:AI19,"OFF")-COUNTIF('Monthly Roster'!E19:AI19,"H")</f>
        <v>31</v>
      </c>
      <c r="E16" s="3">
        <f>COUNTIF('Monthly Roster'!E19:AI19,"OFF")</f>
        <v>0</v>
      </c>
      <c r="F16" s="3">
        <f>COUNTIF('Monthly Roster'!E19:AI19,"CL") + COUNTIF('Monthly Roster'!E19:AI19,"CL/2") *0.5</f>
        <v>0</v>
      </c>
      <c r="G16" s="3">
        <f>COUNTIF('Monthly Roster'!E19:AI19,"ML") + COUNTIF('Monthly Roster'!E19:AI19,"ML/2") *0.5</f>
        <v>0</v>
      </c>
      <c r="H16" s="3">
        <f>COUNTIF('Monthly Roster'!E19:AI19,"EL") + COUNTIF('Monthly Roster'!E19:AI19,"EL/2") *0.5</f>
        <v>0</v>
      </c>
      <c r="I16" s="3">
        <f>COUNTIF('Monthly Roster'!E19:AI19,"UL") + COUNTIF('Monthly Roster'!E19:AI19,"UL/2") * 0.5</f>
        <v>0</v>
      </c>
      <c r="J16" s="3">
        <f>COUNTIF('Monthly Roster'!E19:AI19,"CO")</f>
        <v>0</v>
      </c>
      <c r="K16" s="3">
        <f>COUNTIF('Monthly Roster'!E19:AI19,"H")</f>
        <v>0</v>
      </c>
      <c r="L16" s="3">
        <f t="shared" si="0"/>
        <v>31</v>
      </c>
    </row>
    <row r="17" spans="1:12" x14ac:dyDescent="0.3">
      <c r="A17" s="3">
        <f>'Employee Master'!A17</f>
        <v>14</v>
      </c>
      <c r="B17" s="3" t="str">
        <f>'Employee Master'!B17</f>
        <v>N</v>
      </c>
      <c r="C17" s="3">
        <f>'Employee Master'!C17</f>
        <v>1002</v>
      </c>
      <c r="D17" s="3">
        <f>COUNT('Monthly Roster'!E$6:AI$6)-COUNTIF('Monthly Roster'!E20:AI20,"OFF")-COUNTIF('Monthly Roster'!E20:AI20,"H")</f>
        <v>31</v>
      </c>
      <c r="E17" s="3">
        <f>COUNTIF('Monthly Roster'!E20:AI20,"OFF")</f>
        <v>0</v>
      </c>
      <c r="F17" s="3">
        <f>COUNTIF('Monthly Roster'!E20:AI20,"CL") + COUNTIF('Monthly Roster'!E20:AI20,"CL/2") *0.5</f>
        <v>0</v>
      </c>
      <c r="G17" s="3">
        <f>COUNTIF('Monthly Roster'!E20:AI20,"ML") + COUNTIF('Monthly Roster'!E20:AI20,"ML/2") *0.5</f>
        <v>0</v>
      </c>
      <c r="H17" s="3">
        <f>COUNTIF('Monthly Roster'!E20:AI20,"EL") + COUNTIF('Monthly Roster'!E20:AI20,"EL/2") *0.5</f>
        <v>0</v>
      </c>
      <c r="I17" s="3">
        <f>COUNTIF('Monthly Roster'!E20:AI20,"UL") + COUNTIF('Monthly Roster'!E20:AI20,"UL/2") * 0.5</f>
        <v>0</v>
      </c>
      <c r="J17" s="3">
        <f>COUNTIF('Monthly Roster'!E20:AI20,"CO")</f>
        <v>0</v>
      </c>
      <c r="K17" s="3">
        <f>COUNTIF('Monthly Roster'!E20:AI20,"H")</f>
        <v>0</v>
      </c>
      <c r="L17" s="3">
        <f t="shared" si="0"/>
        <v>31</v>
      </c>
    </row>
    <row r="18" spans="1:12" x14ac:dyDescent="0.3">
      <c r="A18" s="3">
        <f>'Employee Master'!A18</f>
        <v>15</v>
      </c>
      <c r="B18" s="3" t="str">
        <f>'Employee Master'!B18</f>
        <v>O</v>
      </c>
      <c r="C18" s="3">
        <f>'Employee Master'!C18</f>
        <v>1003</v>
      </c>
      <c r="D18" s="3">
        <f>COUNT('Monthly Roster'!E$6:AI$6)-COUNTIF('Monthly Roster'!E21:AI21,"OFF")-COUNTIF('Monthly Roster'!E21:AI21,"H")</f>
        <v>31</v>
      </c>
      <c r="E18" s="3">
        <f>COUNTIF('Monthly Roster'!E21:AI21,"OFF")</f>
        <v>0</v>
      </c>
      <c r="F18" s="3">
        <f>COUNTIF('Monthly Roster'!E21:AI21,"CL") + COUNTIF('Monthly Roster'!E21:AI21,"CL/2") *0.5</f>
        <v>0</v>
      </c>
      <c r="G18" s="3">
        <f>COUNTIF('Monthly Roster'!E21:AI21,"ML") + COUNTIF('Monthly Roster'!E21:AI21,"ML/2") *0.5</f>
        <v>0</v>
      </c>
      <c r="H18" s="3">
        <f>COUNTIF('Monthly Roster'!E21:AI21,"EL") + COUNTIF('Monthly Roster'!E21:AI21,"EL/2") *0.5</f>
        <v>0</v>
      </c>
      <c r="I18" s="3">
        <f>COUNTIF('Monthly Roster'!E21:AI21,"UL") + COUNTIF('Monthly Roster'!E21:AI21,"UL/2") * 0.5</f>
        <v>0</v>
      </c>
      <c r="J18" s="3">
        <f>COUNTIF('Monthly Roster'!E21:AI21,"CO")</f>
        <v>0</v>
      </c>
      <c r="K18" s="3">
        <f>COUNTIF('Monthly Roster'!E21:AI21,"H")</f>
        <v>0</v>
      </c>
      <c r="L18" s="3">
        <f t="shared" si="0"/>
        <v>31</v>
      </c>
    </row>
    <row r="19" spans="1:12" x14ac:dyDescent="0.3">
      <c r="A19" s="3">
        <f>'Employee Master'!A19</f>
        <v>16</v>
      </c>
      <c r="B19" s="3" t="str">
        <f>'Employee Master'!B19</f>
        <v>P</v>
      </c>
      <c r="C19" s="3">
        <f>'Employee Master'!C19</f>
        <v>1004</v>
      </c>
      <c r="D19" s="3">
        <f>COUNT('Monthly Roster'!E$6:AI$6)-COUNTIF('Monthly Roster'!E22:AI22,"OFF")-COUNTIF('Monthly Roster'!E22:AI22,"H")</f>
        <v>31</v>
      </c>
      <c r="E19" s="3">
        <f>COUNTIF('Monthly Roster'!E22:AI22,"OFF")</f>
        <v>0</v>
      </c>
      <c r="F19" s="3">
        <f>COUNTIF('Monthly Roster'!E22:AI22,"CL") + COUNTIF('Monthly Roster'!E22:AI22,"CL/2") *0.5</f>
        <v>0</v>
      </c>
      <c r="G19" s="3">
        <f>COUNTIF('Monthly Roster'!E22:AI22,"ML") + COUNTIF('Monthly Roster'!E22:AI22,"ML/2") *0.5</f>
        <v>0</v>
      </c>
      <c r="H19" s="3">
        <f>COUNTIF('Monthly Roster'!E22:AI22,"EL") + COUNTIF('Monthly Roster'!E22:AI22,"EL/2") *0.5</f>
        <v>0</v>
      </c>
      <c r="I19" s="3">
        <f>COUNTIF('Monthly Roster'!E22:AI22,"UL") + COUNTIF('Monthly Roster'!E22:AI22,"UL/2") * 0.5</f>
        <v>0</v>
      </c>
      <c r="J19" s="3">
        <f>COUNTIF('Monthly Roster'!E22:AI22,"CO")</f>
        <v>0</v>
      </c>
      <c r="K19" s="3">
        <f>COUNTIF('Monthly Roster'!E22:AI22,"H")</f>
        <v>0</v>
      </c>
      <c r="L19" s="3">
        <f t="shared" si="0"/>
        <v>31</v>
      </c>
    </row>
    <row r="20" spans="1:12" x14ac:dyDescent="0.3">
      <c r="A20" s="3">
        <f>'Employee Master'!A20</f>
        <v>17</v>
      </c>
      <c r="B20" s="3" t="str">
        <f>'Employee Master'!B20</f>
        <v>Q</v>
      </c>
      <c r="C20" s="3">
        <f>'Employee Master'!C20</f>
        <v>1001</v>
      </c>
      <c r="D20" s="3">
        <f>COUNT('Monthly Roster'!E$6:AI$6)-COUNTIF('Monthly Roster'!E23:AI23,"OFF")-COUNTIF('Monthly Roster'!E23:AI23,"H")</f>
        <v>31</v>
      </c>
      <c r="E20" s="3">
        <f>COUNTIF('Monthly Roster'!E23:AI23,"OFF")</f>
        <v>0</v>
      </c>
      <c r="F20" s="3">
        <f>COUNTIF('Monthly Roster'!E23:AI23,"CL") + COUNTIF('Monthly Roster'!E23:AI23,"CL/2") *0.5</f>
        <v>0</v>
      </c>
      <c r="G20" s="3">
        <f>COUNTIF('Monthly Roster'!E23:AI23,"ML") + COUNTIF('Monthly Roster'!E23:AI23,"ML/2") *0.5</f>
        <v>0</v>
      </c>
      <c r="H20" s="3">
        <f>COUNTIF('Monthly Roster'!E23:AI23,"EL") + COUNTIF('Monthly Roster'!E23:AI23,"EL/2") *0.5</f>
        <v>0</v>
      </c>
      <c r="I20" s="3">
        <f>COUNTIF('Monthly Roster'!E23:AI23,"UL") + COUNTIF('Monthly Roster'!E23:AI23,"UL/2") * 0.5</f>
        <v>0</v>
      </c>
      <c r="J20" s="3">
        <f>COUNTIF('Monthly Roster'!E23:AI23,"CO")</f>
        <v>0</v>
      </c>
      <c r="K20" s="3">
        <f>COUNTIF('Monthly Roster'!E23:AI23,"H")</f>
        <v>0</v>
      </c>
      <c r="L20" s="3">
        <f t="shared" si="0"/>
        <v>31</v>
      </c>
    </row>
    <row r="21" spans="1:12" x14ac:dyDescent="0.3">
      <c r="A21" s="3">
        <f>'Employee Master'!A21</f>
        <v>18</v>
      </c>
      <c r="B21" s="3" t="str">
        <f>'Employee Master'!B21</f>
        <v>R</v>
      </c>
      <c r="C21" s="3">
        <f>'Employee Master'!C21</f>
        <v>1002</v>
      </c>
      <c r="D21" s="3">
        <f>COUNT('Monthly Roster'!E$6:AI$6)-COUNTIF('Monthly Roster'!E24:AI24,"OFF")-COUNTIF('Monthly Roster'!E24:AI24,"H")</f>
        <v>31</v>
      </c>
      <c r="E21" s="3">
        <f>COUNTIF('Monthly Roster'!E24:AI24,"OFF")</f>
        <v>0</v>
      </c>
      <c r="F21" s="3">
        <f>COUNTIF('Monthly Roster'!E24:AI24,"CL") + COUNTIF('Monthly Roster'!E24:AI24,"CL/2") *0.5</f>
        <v>0</v>
      </c>
      <c r="G21" s="3">
        <f>COUNTIF('Monthly Roster'!E24:AI24,"ML") + COUNTIF('Monthly Roster'!E24:AI24,"ML/2") *0.5</f>
        <v>0</v>
      </c>
      <c r="H21" s="3">
        <f>COUNTIF('Monthly Roster'!E24:AI24,"EL") + COUNTIF('Monthly Roster'!E24:AI24,"EL/2") *0.5</f>
        <v>0</v>
      </c>
      <c r="I21" s="3">
        <f>COUNTIF('Monthly Roster'!E24:AI24,"UL") + COUNTIF('Monthly Roster'!E24:AI24,"UL/2") * 0.5</f>
        <v>0</v>
      </c>
      <c r="J21" s="3">
        <f>COUNTIF('Monthly Roster'!E24:AI24,"CO")</f>
        <v>0</v>
      </c>
      <c r="K21" s="3">
        <f>COUNTIF('Monthly Roster'!E24:AI24,"H")</f>
        <v>0</v>
      </c>
      <c r="L21" s="3">
        <f t="shared" si="0"/>
        <v>31</v>
      </c>
    </row>
    <row r="22" spans="1:12" x14ac:dyDescent="0.3">
      <c r="A22" s="3">
        <f>'Employee Master'!A22</f>
        <v>19</v>
      </c>
      <c r="B22" s="3" t="str">
        <f>'Employee Master'!B22</f>
        <v>S</v>
      </c>
      <c r="C22" s="3">
        <f>'Employee Master'!C22</f>
        <v>1003</v>
      </c>
      <c r="D22" s="3">
        <f>COUNT('Monthly Roster'!E$6:AI$6)-COUNTIF('Monthly Roster'!E25:AI25,"OFF")-COUNTIF('Monthly Roster'!E25:AI25,"H")</f>
        <v>31</v>
      </c>
      <c r="E22" s="3">
        <f>COUNTIF('Monthly Roster'!E25:AI25,"OFF")</f>
        <v>0</v>
      </c>
      <c r="F22" s="3">
        <f>COUNTIF('Monthly Roster'!E25:AI25,"CL") + COUNTIF('Monthly Roster'!E25:AI25,"CL/2") *0.5</f>
        <v>0</v>
      </c>
      <c r="G22" s="3">
        <f>COUNTIF('Monthly Roster'!E25:AI25,"ML") + COUNTIF('Monthly Roster'!E25:AI25,"ML/2") *0.5</f>
        <v>0</v>
      </c>
      <c r="H22" s="3">
        <f>COUNTIF('Monthly Roster'!E25:AI25,"EL") + COUNTIF('Monthly Roster'!E25:AI25,"EL/2") *0.5</f>
        <v>0</v>
      </c>
      <c r="I22" s="3">
        <f>COUNTIF('Monthly Roster'!E25:AI25,"UL") + COUNTIF('Monthly Roster'!E25:AI25,"UL/2") * 0.5</f>
        <v>0</v>
      </c>
      <c r="J22" s="3">
        <f>COUNTIF('Monthly Roster'!E25:AI25,"CO")</f>
        <v>0</v>
      </c>
      <c r="K22" s="3">
        <f>COUNTIF('Monthly Roster'!E25:AI25,"H")</f>
        <v>0</v>
      </c>
      <c r="L22" s="3">
        <f t="shared" si="0"/>
        <v>31</v>
      </c>
    </row>
    <row r="23" spans="1:12" x14ac:dyDescent="0.3">
      <c r="A23" s="3">
        <f>'Employee Master'!A23</f>
        <v>20</v>
      </c>
      <c r="B23" s="3" t="str">
        <f>'Employee Master'!B23</f>
        <v>T</v>
      </c>
      <c r="C23" s="3">
        <f>'Employee Master'!C23</f>
        <v>1004</v>
      </c>
      <c r="D23" s="3">
        <f>COUNT('Monthly Roster'!E$6:AI$6)-COUNTIF('Monthly Roster'!E26:AI26,"OFF")-COUNTIF('Monthly Roster'!E26:AI26,"H")</f>
        <v>31</v>
      </c>
      <c r="E23" s="3">
        <f>COUNTIF('Monthly Roster'!E26:AI26,"OFF")</f>
        <v>0</v>
      </c>
      <c r="F23" s="3">
        <f>COUNTIF('Monthly Roster'!E26:AI26,"CL") + COUNTIF('Monthly Roster'!E26:AI26,"CL/2") *0.5</f>
        <v>0</v>
      </c>
      <c r="G23" s="3">
        <f>COUNTIF('Monthly Roster'!E26:AI26,"ML") + COUNTIF('Monthly Roster'!E26:AI26,"ML/2") *0.5</f>
        <v>0</v>
      </c>
      <c r="H23" s="3">
        <f>COUNTIF('Monthly Roster'!E26:AI26,"EL") + COUNTIF('Monthly Roster'!E26:AI26,"EL/2") *0.5</f>
        <v>0</v>
      </c>
      <c r="I23" s="3">
        <f>COUNTIF('Monthly Roster'!E26:AI26,"UL") + COUNTIF('Monthly Roster'!E26:AI26,"UL/2") * 0.5</f>
        <v>0</v>
      </c>
      <c r="J23" s="3">
        <f>COUNTIF('Monthly Roster'!E26:AI26,"CO")</f>
        <v>0</v>
      </c>
      <c r="K23" s="3">
        <f>COUNTIF('Monthly Roster'!E26:AI26,"H")</f>
        <v>0</v>
      </c>
      <c r="L23" s="3">
        <f t="shared" si="0"/>
        <v>31</v>
      </c>
    </row>
    <row r="24" spans="1:12" x14ac:dyDescent="0.3">
      <c r="A24" s="3">
        <f>'Employee Master'!A24</f>
        <v>21</v>
      </c>
      <c r="B24" s="3" t="str">
        <f>'Employee Master'!B24</f>
        <v>U</v>
      </c>
      <c r="C24" s="3">
        <f>'Employee Master'!C24</f>
        <v>1001</v>
      </c>
      <c r="D24" s="3">
        <f>COUNT('Monthly Roster'!E$6:AI$6)-COUNTIF('Monthly Roster'!E27:AI27,"OFF")-COUNTIF('Monthly Roster'!E27:AI27,"H")</f>
        <v>31</v>
      </c>
      <c r="E24" s="3">
        <f>COUNTIF('Monthly Roster'!E27:AI27,"OFF")</f>
        <v>0</v>
      </c>
      <c r="F24" s="3">
        <f>COUNTIF('Monthly Roster'!E27:AI27,"CL") + COUNTIF('Monthly Roster'!E27:AI27,"CL/2") *0.5</f>
        <v>0</v>
      </c>
      <c r="G24" s="3">
        <f>COUNTIF('Monthly Roster'!E27:AI27,"ML") + COUNTIF('Monthly Roster'!E27:AI27,"ML/2") *0.5</f>
        <v>0</v>
      </c>
      <c r="H24" s="3">
        <f>COUNTIF('Monthly Roster'!E27:AI27,"EL") + COUNTIF('Monthly Roster'!E27:AI27,"EL/2") *0.5</f>
        <v>0</v>
      </c>
      <c r="I24" s="3">
        <f>COUNTIF('Monthly Roster'!E27:AI27,"UL") + COUNTIF('Monthly Roster'!E27:AI27,"UL/2") * 0.5</f>
        <v>0</v>
      </c>
      <c r="J24" s="3">
        <f>COUNTIF('Monthly Roster'!E27:AI27,"CO")</f>
        <v>0</v>
      </c>
      <c r="K24" s="3">
        <f>COUNTIF('Monthly Roster'!E27:AI27,"H")</f>
        <v>0</v>
      </c>
      <c r="L24" s="3">
        <f t="shared" si="0"/>
        <v>31</v>
      </c>
    </row>
    <row r="25" spans="1:12" x14ac:dyDescent="0.3">
      <c r="A25" s="3">
        <f>'Employee Master'!A25</f>
        <v>22</v>
      </c>
      <c r="B25" s="3" t="str">
        <f>'Employee Master'!B25</f>
        <v>V</v>
      </c>
      <c r="C25" s="3">
        <f>'Employee Master'!C25</f>
        <v>1002</v>
      </c>
      <c r="D25" s="3">
        <f>COUNT('Monthly Roster'!E$6:AI$6)-COUNTIF('Monthly Roster'!E28:AI28,"OFF")-COUNTIF('Monthly Roster'!E28:AI28,"H")</f>
        <v>31</v>
      </c>
      <c r="E25" s="3">
        <f>COUNTIF('Monthly Roster'!E28:AI28,"OFF")</f>
        <v>0</v>
      </c>
      <c r="F25" s="3">
        <f>COUNTIF('Monthly Roster'!E28:AI28,"CL") + COUNTIF('Monthly Roster'!E28:AI28,"CL/2") *0.5</f>
        <v>0</v>
      </c>
      <c r="G25" s="3">
        <f>COUNTIF('Monthly Roster'!E28:AI28,"ML") + COUNTIF('Monthly Roster'!E28:AI28,"ML/2") *0.5</f>
        <v>0</v>
      </c>
      <c r="H25" s="3">
        <f>COUNTIF('Monthly Roster'!E28:AI28,"EL") + COUNTIF('Monthly Roster'!E28:AI28,"EL/2") *0.5</f>
        <v>0</v>
      </c>
      <c r="I25" s="3">
        <f>COUNTIF('Monthly Roster'!E28:AI28,"UL") + COUNTIF('Monthly Roster'!E28:AI28,"UL/2") * 0.5</f>
        <v>0</v>
      </c>
      <c r="J25" s="3">
        <f>COUNTIF('Monthly Roster'!E28:AI28,"CO")</f>
        <v>0</v>
      </c>
      <c r="K25" s="3">
        <f>COUNTIF('Monthly Roster'!E28:AI28,"H")</f>
        <v>0</v>
      </c>
      <c r="L25" s="3">
        <f t="shared" si="0"/>
        <v>31</v>
      </c>
    </row>
    <row r="26" spans="1:12" x14ac:dyDescent="0.3">
      <c r="A26" s="3">
        <f>'Employee Master'!A26</f>
        <v>23</v>
      </c>
      <c r="B26" s="3" t="str">
        <f>'Employee Master'!B26</f>
        <v>W</v>
      </c>
      <c r="C26" s="3">
        <f>'Employee Master'!C26</f>
        <v>1003</v>
      </c>
      <c r="D26" s="3">
        <f>COUNT('Monthly Roster'!E$6:AI$6)-COUNTIF('Monthly Roster'!E29:AI29,"OFF")-COUNTIF('Monthly Roster'!E29:AI29,"H")</f>
        <v>31</v>
      </c>
      <c r="E26" s="3">
        <f>COUNTIF('Monthly Roster'!E29:AI29,"OFF")</f>
        <v>0</v>
      </c>
      <c r="F26" s="3">
        <f>COUNTIF('Monthly Roster'!E29:AI29,"CL") + COUNTIF('Monthly Roster'!E29:AI29,"CL/2") *0.5</f>
        <v>0</v>
      </c>
      <c r="G26" s="3">
        <f>COUNTIF('Monthly Roster'!E29:AI29,"ML") + COUNTIF('Monthly Roster'!E29:AI29,"ML/2") *0.5</f>
        <v>0</v>
      </c>
      <c r="H26" s="3">
        <f>COUNTIF('Monthly Roster'!E29:AI29,"EL") + COUNTIF('Monthly Roster'!E29:AI29,"EL/2") *0.5</f>
        <v>0</v>
      </c>
      <c r="I26" s="3">
        <f>COUNTIF('Monthly Roster'!E29:AI29,"UL") + COUNTIF('Monthly Roster'!E29:AI29,"UL/2") * 0.5</f>
        <v>0</v>
      </c>
      <c r="J26" s="3">
        <f>COUNTIF('Monthly Roster'!E29:AI29,"CO")</f>
        <v>0</v>
      </c>
      <c r="K26" s="3">
        <f>COUNTIF('Monthly Roster'!E29:AI29,"H")</f>
        <v>0</v>
      </c>
      <c r="L26" s="3">
        <f t="shared" si="0"/>
        <v>31</v>
      </c>
    </row>
    <row r="27" spans="1:12" x14ac:dyDescent="0.3">
      <c r="A27" s="3">
        <f>'Employee Master'!A27</f>
        <v>24</v>
      </c>
      <c r="B27" s="3" t="str">
        <f>'Employee Master'!B27</f>
        <v>X</v>
      </c>
      <c r="C27" s="3">
        <f>'Employee Master'!C27</f>
        <v>1004</v>
      </c>
      <c r="D27" s="3">
        <f>COUNT('Monthly Roster'!E$6:AI$6)-COUNTIF('Monthly Roster'!E30:AI30,"OFF")-COUNTIF('Monthly Roster'!E30:AI30,"H")</f>
        <v>31</v>
      </c>
      <c r="E27" s="3">
        <f>COUNTIF('Monthly Roster'!E30:AI30,"OFF")</f>
        <v>0</v>
      </c>
      <c r="F27" s="3">
        <f>COUNTIF('Monthly Roster'!E30:AI30,"CL") + COUNTIF('Monthly Roster'!E30:AI30,"CL/2") *0.5</f>
        <v>0</v>
      </c>
      <c r="G27" s="3">
        <f>COUNTIF('Monthly Roster'!E30:AI30,"ML") + COUNTIF('Monthly Roster'!E30:AI30,"ML/2") *0.5</f>
        <v>0</v>
      </c>
      <c r="H27" s="3">
        <f>COUNTIF('Monthly Roster'!E30:AI30,"EL") + COUNTIF('Monthly Roster'!E30:AI30,"EL/2") *0.5</f>
        <v>0</v>
      </c>
      <c r="I27" s="3">
        <f>COUNTIF('Monthly Roster'!E30:AI30,"UL") + COUNTIF('Monthly Roster'!E30:AI30,"UL/2") * 0.5</f>
        <v>0</v>
      </c>
      <c r="J27" s="3">
        <f>COUNTIF('Monthly Roster'!E30:AI30,"CO")</f>
        <v>0</v>
      </c>
      <c r="K27" s="3">
        <f>COUNTIF('Monthly Roster'!E30:AI30,"H")</f>
        <v>0</v>
      </c>
      <c r="L27" s="3">
        <f t="shared" si="0"/>
        <v>31</v>
      </c>
    </row>
    <row r="28" spans="1:12" x14ac:dyDescent="0.3">
      <c r="A28" s="3">
        <f>'Employee Master'!A28</f>
        <v>25</v>
      </c>
      <c r="B28" s="3" t="str">
        <f>'Employee Master'!B28</f>
        <v>Y</v>
      </c>
      <c r="C28" s="3">
        <f>'Employee Master'!C28</f>
        <v>1001</v>
      </c>
      <c r="D28" s="3">
        <f>COUNT('Monthly Roster'!E$6:AI$6)-COUNTIF('Monthly Roster'!E31:AI31,"OFF")-COUNTIF('Monthly Roster'!E31:AI31,"H")</f>
        <v>31</v>
      </c>
      <c r="E28" s="3">
        <f>COUNTIF('Monthly Roster'!E31:AI31,"OFF")</f>
        <v>0</v>
      </c>
      <c r="F28" s="3">
        <f>COUNTIF('Monthly Roster'!E31:AI31,"CL") + COUNTIF('Monthly Roster'!E31:AI31,"CL/2") *0.5</f>
        <v>0</v>
      </c>
      <c r="G28" s="3">
        <f>COUNTIF('Monthly Roster'!E31:AI31,"ML") + COUNTIF('Monthly Roster'!E31:AI31,"ML/2") *0.5</f>
        <v>0</v>
      </c>
      <c r="H28" s="3">
        <f>COUNTIF('Monthly Roster'!E31:AI31,"EL") + COUNTIF('Monthly Roster'!E31:AI31,"EL/2") *0.5</f>
        <v>0</v>
      </c>
      <c r="I28" s="3">
        <f>COUNTIF('Monthly Roster'!E31:AI31,"UL") + COUNTIF('Monthly Roster'!E31:AI31,"UL/2") * 0.5</f>
        <v>0</v>
      </c>
      <c r="J28" s="3">
        <f>COUNTIF('Monthly Roster'!E31:AI31,"CO")</f>
        <v>0</v>
      </c>
      <c r="K28" s="3">
        <f>COUNTIF('Monthly Roster'!E31:AI31,"H")</f>
        <v>0</v>
      </c>
      <c r="L28" s="3">
        <f t="shared" si="0"/>
        <v>31</v>
      </c>
    </row>
    <row r="29" spans="1:12" x14ac:dyDescent="0.3">
      <c r="A29" s="3">
        <f>'Employee Master'!A29</f>
        <v>26</v>
      </c>
      <c r="B29" s="3" t="str">
        <f>'Employee Master'!B29</f>
        <v>Z</v>
      </c>
      <c r="C29" s="3">
        <f>'Employee Master'!C29</f>
        <v>1002</v>
      </c>
      <c r="D29" s="3">
        <f>COUNT('Monthly Roster'!E$6:AI$6)-COUNTIF('Monthly Roster'!E32:AI32,"OFF")-COUNTIF('Monthly Roster'!E32:AI32,"H")</f>
        <v>31</v>
      </c>
      <c r="E29" s="3">
        <f>COUNTIF('Monthly Roster'!E32:AI32,"OFF")</f>
        <v>0</v>
      </c>
      <c r="F29" s="3">
        <f>COUNTIF('Monthly Roster'!E32:AI32,"CL") + COUNTIF('Monthly Roster'!E32:AI32,"CL/2") *0.5</f>
        <v>0</v>
      </c>
      <c r="G29" s="3">
        <f>COUNTIF('Monthly Roster'!E32:AI32,"ML") + COUNTIF('Monthly Roster'!E32:AI32,"ML/2") *0.5</f>
        <v>0</v>
      </c>
      <c r="H29" s="3">
        <f>COUNTIF('Monthly Roster'!E32:AI32,"EL") + COUNTIF('Monthly Roster'!E32:AI32,"EL/2") *0.5</f>
        <v>0</v>
      </c>
      <c r="I29" s="3">
        <f>COUNTIF('Monthly Roster'!E32:AI32,"UL") + COUNTIF('Monthly Roster'!E32:AI32,"UL/2") * 0.5</f>
        <v>0</v>
      </c>
      <c r="J29" s="3">
        <f>COUNTIF('Monthly Roster'!E32:AI32,"CO")</f>
        <v>0</v>
      </c>
      <c r="K29" s="3">
        <f>COUNTIF('Monthly Roster'!E32:AI32,"H")</f>
        <v>0</v>
      </c>
      <c r="L29" s="3">
        <f t="shared" si="0"/>
        <v>31</v>
      </c>
    </row>
    <row r="30" spans="1:12" x14ac:dyDescent="0.3">
      <c r="A30" s="3">
        <f>'Employee Master'!A30</f>
        <v>0</v>
      </c>
      <c r="B30" s="3">
        <f>'Employee Master'!B30</f>
        <v>0</v>
      </c>
      <c r="C30" s="3">
        <f>'Employee Master'!C30</f>
        <v>0</v>
      </c>
      <c r="D30" s="3">
        <f>COUNT('Monthly Roster'!E$6:AI$6)-COUNTIF('Monthly Roster'!E33:AI33,"OFF")-COUNTIF('Monthly Roster'!E33:AI33,"H")</f>
        <v>31</v>
      </c>
      <c r="E30" s="3">
        <f>COUNTIF('Monthly Roster'!E33:AI33,"OFF")</f>
        <v>0</v>
      </c>
      <c r="F30" s="3">
        <f>COUNTIF('Monthly Roster'!E33:AI33,"CL") + COUNTIF('Monthly Roster'!E33:AI33,"CL/2") *0.5</f>
        <v>0</v>
      </c>
      <c r="G30" s="3">
        <f>COUNTIF('Monthly Roster'!E33:AI33,"ML") + COUNTIF('Monthly Roster'!E33:AI33,"ML/2") *0.5</f>
        <v>0</v>
      </c>
      <c r="H30" s="3">
        <f>COUNTIF('Monthly Roster'!E33:AI33,"EL") + COUNTIF('Monthly Roster'!E33:AI33,"EL/2") *0.5</f>
        <v>0</v>
      </c>
      <c r="I30" s="3">
        <f>COUNTIF('Monthly Roster'!E33:AI33,"UL") + COUNTIF('Monthly Roster'!E33:AI33,"UL/2") * 0.5</f>
        <v>0</v>
      </c>
      <c r="J30" s="3">
        <f>COUNTIF('Monthly Roster'!E33:AI33,"CO")</f>
        <v>0</v>
      </c>
      <c r="K30" s="3">
        <f>COUNTIF('Monthly Roster'!E33:AI33,"H")</f>
        <v>0</v>
      </c>
      <c r="L30" s="3">
        <f t="shared" si="0"/>
        <v>31</v>
      </c>
    </row>
    <row r="31" spans="1:12" x14ac:dyDescent="0.3">
      <c r="A31" s="3">
        <f>'Employee Master'!A31</f>
        <v>0</v>
      </c>
      <c r="B31" s="3">
        <f>'Employee Master'!B31</f>
        <v>0</v>
      </c>
      <c r="C31" s="3">
        <f>'Employee Master'!C31</f>
        <v>0</v>
      </c>
      <c r="D31" s="3">
        <f>COUNT('Monthly Roster'!E$6:AI$6)-COUNTIF('Monthly Roster'!E34:AI34,"OFF")-COUNTIF('Monthly Roster'!E34:AI34,"H")</f>
        <v>31</v>
      </c>
      <c r="E31" s="3">
        <f>COUNTIF('Monthly Roster'!E34:AI34,"OFF")</f>
        <v>0</v>
      </c>
      <c r="F31" s="3">
        <f>COUNTIF('Monthly Roster'!E34:AI34,"CL") + COUNTIF('Monthly Roster'!E34:AI34,"CL/2") *0.5</f>
        <v>0</v>
      </c>
      <c r="G31" s="3">
        <f>COUNTIF('Monthly Roster'!E34:AI34,"ML") + COUNTIF('Monthly Roster'!E34:AI34,"ML/2") *0.5</f>
        <v>0</v>
      </c>
      <c r="H31" s="3">
        <f>COUNTIF('Monthly Roster'!E34:AI34,"EL") + COUNTIF('Monthly Roster'!E34:AI34,"EL/2") *0.5</f>
        <v>0</v>
      </c>
      <c r="I31" s="3">
        <f>COUNTIF('Monthly Roster'!E34:AI34,"UL") + COUNTIF('Monthly Roster'!E34:AI34,"UL/2") * 0.5</f>
        <v>0</v>
      </c>
      <c r="J31" s="3">
        <f>COUNTIF('Monthly Roster'!E34:AI34,"CO")</f>
        <v>0</v>
      </c>
      <c r="K31" s="3">
        <f>COUNTIF('Monthly Roster'!E34:AI34,"H")</f>
        <v>0</v>
      </c>
      <c r="L31" s="3">
        <f t="shared" si="0"/>
        <v>31</v>
      </c>
    </row>
    <row r="32" spans="1:12" x14ac:dyDescent="0.3">
      <c r="A32" s="3">
        <f>'Employee Master'!A32</f>
        <v>0</v>
      </c>
      <c r="B32" s="3">
        <f>'Employee Master'!B32</f>
        <v>0</v>
      </c>
      <c r="C32" s="3">
        <f>'Employee Master'!C32</f>
        <v>0</v>
      </c>
      <c r="D32" s="3">
        <f>COUNT('Monthly Roster'!E$6:AI$6)-COUNTIF('Monthly Roster'!E35:AI35,"OFF")-COUNTIF('Monthly Roster'!E35:AI35,"H")</f>
        <v>31</v>
      </c>
      <c r="E32" s="3">
        <f>COUNTIF('Monthly Roster'!E35:AI35,"OFF")</f>
        <v>0</v>
      </c>
      <c r="F32" s="3">
        <f>COUNTIF('Monthly Roster'!E35:AI35,"CL") + COUNTIF('Monthly Roster'!E35:AI35,"CL/2") *0.5</f>
        <v>0</v>
      </c>
      <c r="G32" s="3">
        <f>COUNTIF('Monthly Roster'!E35:AI35,"ML") + COUNTIF('Monthly Roster'!E35:AI35,"ML/2") *0.5</f>
        <v>0</v>
      </c>
      <c r="H32" s="3">
        <f>COUNTIF('Monthly Roster'!E35:AI35,"EL") + COUNTIF('Monthly Roster'!E35:AI35,"EL/2") *0.5</f>
        <v>0</v>
      </c>
      <c r="I32" s="3">
        <f>COUNTIF('Monthly Roster'!E35:AI35,"UL") + COUNTIF('Monthly Roster'!E35:AI35,"UL/2") * 0.5</f>
        <v>0</v>
      </c>
      <c r="J32" s="3">
        <f>COUNTIF('Monthly Roster'!E35:AI35,"CO")</f>
        <v>0</v>
      </c>
      <c r="K32" s="3">
        <f>COUNTIF('Monthly Roster'!E35:AI35,"H")</f>
        <v>0</v>
      </c>
      <c r="L32" s="3">
        <f t="shared" si="0"/>
        <v>31</v>
      </c>
    </row>
    <row r="33" spans="1:12" x14ac:dyDescent="0.3">
      <c r="A33" s="3">
        <f>'Employee Master'!A33</f>
        <v>0</v>
      </c>
      <c r="B33" s="3">
        <f>'Employee Master'!B33</f>
        <v>0</v>
      </c>
      <c r="C33" s="3">
        <f>'Employee Master'!C33</f>
        <v>0</v>
      </c>
      <c r="D33" s="3">
        <f>COUNT('Monthly Roster'!E$6:AI$6)-COUNTIF('Monthly Roster'!E36:AI36,"OFF")-COUNTIF('Monthly Roster'!E36:AI36,"H")</f>
        <v>31</v>
      </c>
      <c r="E33" s="3">
        <f>COUNTIF('Monthly Roster'!E36:AI36,"OFF")</f>
        <v>0</v>
      </c>
      <c r="F33" s="3">
        <f>COUNTIF('Monthly Roster'!E36:AI36,"CL") + COUNTIF('Monthly Roster'!E36:AI36,"CL/2") *0.5</f>
        <v>0</v>
      </c>
      <c r="G33" s="3">
        <f>COUNTIF('Monthly Roster'!E36:AI36,"ML") + COUNTIF('Monthly Roster'!E36:AI36,"ML/2") *0.5</f>
        <v>0</v>
      </c>
      <c r="H33" s="3">
        <f>COUNTIF('Monthly Roster'!E36:AI36,"EL") + COUNTIF('Monthly Roster'!E36:AI36,"EL/2") *0.5</f>
        <v>0</v>
      </c>
      <c r="I33" s="3">
        <f>COUNTIF('Monthly Roster'!E36:AI36,"UL") + COUNTIF('Monthly Roster'!E36:AI36,"UL/2") * 0.5</f>
        <v>0</v>
      </c>
      <c r="J33" s="3">
        <f>COUNTIF('Monthly Roster'!E36:AI36,"CO")</f>
        <v>0</v>
      </c>
      <c r="K33" s="3">
        <f>COUNTIF('Monthly Roster'!E36:AI36,"H")</f>
        <v>0</v>
      </c>
      <c r="L33" s="3">
        <f t="shared" si="0"/>
        <v>31</v>
      </c>
    </row>
  </sheetData>
  <mergeCells count="1">
    <mergeCell ref="A1:N1"/>
  </mergeCells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Employee Master</vt:lpstr>
      <vt:lpstr>Shift Master</vt:lpstr>
      <vt:lpstr>Monthly Roster</vt:lpstr>
      <vt:lpstr>Leave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 S</cp:lastModifiedBy>
  <dcterms:created xsi:type="dcterms:W3CDTF">2026-08-19T06:15:41Z</dcterms:created>
  <dcterms:modified xsi:type="dcterms:W3CDTF">2026-08-26T05:54:59Z</dcterms:modified>
</cp:coreProperties>
</file>